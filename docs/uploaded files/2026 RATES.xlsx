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harlotteStautzenber\AppData\Local\Microsoft\Windows\INetCache\Content.Outlook\674LDXH8\"/>
    </mc:Choice>
  </mc:AlternateContent>
  <xr:revisionPtr revIDLastSave="16" documentId="8_{9A6C5239-D7D4-4188-B072-ECF8B8D546E4}" xr6:coauthVersionLast="47" xr6:coauthVersionMax="47" xr10:uidLastSave="{0CAA7E76-7BD3-4C67-A413-B4A152556B3E}"/>
  <bookViews>
    <workbookView xWindow="-40785" yWindow="-8460" windowWidth="17280" windowHeight="9960" xr2:uid="{BC583498-3455-47ED-B6C0-F31086FAD286}"/>
  </bookViews>
  <sheets>
    <sheet name="Rate Sheet" sheetId="4" r:id="rId1"/>
    <sheet name="Sheet5" sheetId="5" r:id="rId2"/>
  </sheets>
  <definedNames>
    <definedName name="_xlnm.Print_Area" localSheetId="0">'Rate Sheet'!$A$1:$K$314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4" l="1"/>
  <c r="I24" i="4"/>
  <c r="I12" i="5"/>
  <c r="I13" i="5"/>
  <c r="I14" i="5"/>
  <c r="I13" i="4"/>
  <c r="I14" i="4"/>
  <c r="I15" i="4"/>
  <c r="I16" i="4"/>
  <c r="I17" i="4"/>
  <c r="I18" i="4"/>
  <c r="I19" i="4"/>
  <c r="I20" i="4"/>
  <c r="I21" i="4"/>
  <c r="I25" i="4"/>
  <c r="H51" i="4"/>
  <c r="H52" i="4"/>
  <c r="H53" i="4"/>
  <c r="H54" i="4"/>
  <c r="H50" i="4"/>
  <c r="H47" i="4"/>
  <c r="H28" i="4"/>
  <c r="H29" i="4"/>
  <c r="H32" i="4"/>
  <c r="H37" i="4"/>
  <c r="H39" i="4"/>
  <c r="H42" i="4"/>
  <c r="H43" i="4"/>
  <c r="H44" i="4"/>
  <c r="H45" i="4"/>
  <c r="H46" i="4"/>
  <c r="H48" i="4"/>
  <c r="M12" i="5" l="1"/>
  <c r="I22" i="4" l="1"/>
  <c r="J13" i="4" l="1"/>
  <c r="J17" i="4"/>
  <c r="J19" i="4"/>
  <c r="J23" i="4"/>
  <c r="J18" i="4"/>
  <c r="J14" i="4"/>
  <c r="J15" i="4"/>
  <c r="H277" i="4"/>
  <c r="H263" i="4"/>
  <c r="H264" i="4"/>
  <c r="H265" i="4"/>
  <c r="H266" i="4"/>
  <c r="H267" i="4"/>
  <c r="H268" i="4"/>
  <c r="H269" i="4"/>
  <c r="H270" i="4"/>
  <c r="H271" i="4"/>
  <c r="H272" i="4"/>
  <c r="H273" i="4"/>
  <c r="H274" i="4"/>
  <c r="H278" i="4"/>
  <c r="H280" i="4"/>
  <c r="H281" i="4"/>
  <c r="H282" i="4"/>
  <c r="H284" i="4"/>
  <c r="H252" i="4"/>
  <c r="H253" i="4"/>
  <c r="H254" i="4"/>
  <c r="H255" i="4"/>
  <c r="H256" i="4"/>
  <c r="H257" i="4"/>
  <c r="H258" i="4"/>
  <c r="H259" i="4"/>
  <c r="H260" i="4"/>
  <c r="H261" i="4"/>
  <c r="H251" i="4"/>
  <c r="H236" i="4"/>
  <c r="H237" i="4"/>
  <c r="H238" i="4"/>
  <c r="H239" i="4"/>
  <c r="H240" i="4"/>
  <c r="H241" i="4"/>
  <c r="H242" i="4"/>
  <c r="H243" i="4"/>
  <c r="H244" i="4"/>
  <c r="H245" i="4"/>
  <c r="H246" i="4"/>
  <c r="H247" i="4"/>
  <c r="H248" i="4"/>
  <c r="H235" i="4"/>
  <c r="H229" i="4"/>
  <c r="H230" i="4"/>
  <c r="H231" i="4"/>
  <c r="H233" i="4"/>
  <c r="H228" i="4"/>
  <c r="H210" i="4"/>
  <c r="H211" i="4"/>
  <c r="H212" i="4"/>
  <c r="H213" i="4"/>
  <c r="H214" i="4"/>
  <c r="H215" i="4"/>
  <c r="H216" i="4"/>
  <c r="H217" i="4"/>
  <c r="H218" i="4"/>
  <c r="H219" i="4"/>
  <c r="H220" i="4"/>
  <c r="H221" i="4"/>
  <c r="H222" i="4"/>
  <c r="H223" i="4"/>
  <c r="H224" i="4"/>
  <c r="H225" i="4"/>
  <c r="H226" i="4"/>
  <c r="H209" i="4"/>
  <c r="H199" i="4"/>
  <c r="H200" i="4"/>
  <c r="H201" i="4"/>
  <c r="H202" i="4"/>
  <c r="H203" i="4"/>
  <c r="H206" i="4"/>
  <c r="H207" i="4"/>
  <c r="H198" i="4"/>
  <c r="H192" i="4"/>
  <c r="H193" i="4"/>
  <c r="H194" i="4"/>
  <c r="H195" i="4"/>
  <c r="H196" i="4"/>
  <c r="H191" i="4"/>
  <c r="H182" i="4"/>
  <c r="H183" i="4"/>
  <c r="H184" i="4"/>
  <c r="H185" i="4"/>
  <c r="H186" i="4"/>
  <c r="H187" i="4"/>
  <c r="H188" i="4"/>
  <c r="H189" i="4"/>
  <c r="H181" i="4"/>
  <c r="H168" i="4"/>
  <c r="H169" i="4"/>
  <c r="H170" i="4"/>
  <c r="H171" i="4"/>
  <c r="H172" i="4"/>
  <c r="H173" i="4"/>
  <c r="H174" i="4"/>
  <c r="H175" i="4"/>
  <c r="H176" i="4"/>
  <c r="H177" i="4"/>
  <c r="H178" i="4"/>
  <c r="H179" i="4"/>
  <c r="H167" i="4"/>
  <c r="H161" i="4"/>
  <c r="H162" i="4"/>
  <c r="H163" i="4"/>
  <c r="H164" i="4"/>
  <c r="H165" i="4"/>
  <c r="H160" i="4"/>
  <c r="H137" i="4"/>
  <c r="H138" i="4"/>
  <c r="H139" i="4"/>
  <c r="H140" i="4"/>
  <c r="H141" i="4"/>
  <c r="H142" i="4"/>
  <c r="H143" i="4"/>
  <c r="H144" i="4"/>
  <c r="H145" i="4"/>
  <c r="H146" i="4"/>
  <c r="H147" i="4"/>
  <c r="H148" i="4"/>
  <c r="H149" i="4"/>
  <c r="H150" i="4"/>
  <c r="H151" i="4"/>
  <c r="H152" i="4"/>
  <c r="H153" i="4"/>
  <c r="H154" i="4"/>
  <c r="H155" i="4"/>
  <c r="H156" i="4"/>
  <c r="H157" i="4"/>
  <c r="H158" i="4"/>
  <c r="H136" i="4"/>
  <c r="H119" i="4"/>
  <c r="H120" i="4"/>
  <c r="H121" i="4"/>
  <c r="H122" i="4"/>
  <c r="H123" i="4"/>
  <c r="H124" i="4"/>
  <c r="H125" i="4"/>
  <c r="H126" i="4"/>
  <c r="H127" i="4"/>
  <c r="H128" i="4"/>
  <c r="H129" i="4"/>
  <c r="H130" i="4"/>
  <c r="H131" i="4"/>
  <c r="H132" i="4"/>
  <c r="H133" i="4"/>
  <c r="H134" i="4"/>
  <c r="H116" i="4"/>
  <c r="H107" i="4"/>
  <c r="H108" i="4"/>
  <c r="H109" i="4"/>
  <c r="H112" i="4"/>
  <c r="H113" i="4"/>
  <c r="H114" i="4"/>
  <c r="H106" i="4"/>
  <c r="H98" i="4"/>
  <c r="H99" i="4"/>
  <c r="H100" i="4"/>
  <c r="H101" i="4"/>
  <c r="H102" i="4"/>
  <c r="H103" i="4"/>
  <c r="H104" i="4"/>
  <c r="H97" i="4"/>
  <c r="H84" i="4"/>
  <c r="H85" i="4"/>
  <c r="H86" i="4"/>
  <c r="H87" i="4"/>
  <c r="H88" i="4"/>
  <c r="H89" i="4"/>
  <c r="H90" i="4"/>
  <c r="H91" i="4"/>
  <c r="H92" i="4"/>
  <c r="H93" i="4"/>
  <c r="H94" i="4"/>
  <c r="H95" i="4"/>
  <c r="H83" i="4"/>
  <c r="H73" i="4"/>
  <c r="H74" i="4"/>
  <c r="H75" i="4"/>
  <c r="H76" i="4"/>
  <c r="H77" i="4"/>
  <c r="H78" i="4"/>
  <c r="H79" i="4"/>
  <c r="H80" i="4"/>
  <c r="H81" i="4"/>
  <c r="H72" i="4"/>
  <c r="H67" i="4"/>
  <c r="H68" i="4"/>
  <c r="H69" i="4"/>
  <c r="H70" i="4"/>
  <c r="H66" i="4"/>
  <c r="H64" i="4"/>
  <c r="H63" i="4"/>
  <c r="H58" i="4"/>
  <c r="H59" i="4"/>
  <c r="H60" i="4"/>
  <c r="H61" i="4"/>
  <c r="J24" i="5"/>
  <c r="I24" i="5"/>
  <c r="J23" i="5"/>
  <c r="I23" i="5"/>
  <c r="J22" i="5"/>
  <c r="I22" i="5"/>
  <c r="J21" i="5"/>
  <c r="I21" i="5"/>
  <c r="J20" i="5"/>
  <c r="I20" i="5"/>
  <c r="J19" i="5"/>
  <c r="I19" i="5"/>
  <c r="J18" i="5"/>
  <c r="I18" i="5"/>
  <c r="J17" i="5"/>
  <c r="I17" i="5"/>
  <c r="J16" i="5"/>
  <c r="I16" i="5"/>
  <c r="J15" i="5"/>
  <c r="I15" i="5"/>
  <c r="J14" i="5"/>
  <c r="J13" i="5"/>
  <c r="J12" i="5"/>
  <c r="J20" i="4" l="1"/>
  <c r="J21" i="4"/>
  <c r="J22" i="4"/>
  <c r="J16" i="4"/>
</calcChain>
</file>

<file path=xl/sharedStrings.xml><?xml version="1.0" encoding="utf-8"?>
<sst xmlns="http://schemas.openxmlformats.org/spreadsheetml/2006/main" count="1284" uniqueCount="375">
  <si>
    <r>
      <t xml:space="preserve">To Request Emergency Response Services Please Contact Your BioRemedy Representative Or Email The Emergency Response Inbox At </t>
    </r>
    <r>
      <rPr>
        <b/>
        <u/>
        <sz val="8"/>
        <color rgb="FF3B3C88"/>
        <rFont val="Calibri"/>
        <family val="2"/>
      </rPr>
      <t>ER@BioRemedy.com</t>
    </r>
  </si>
  <si>
    <t>Standard Rates</t>
  </si>
  <si>
    <t xml:space="preserve">for work performed Monday through Friday between the hours of 8:00 AM and 5:00 PM. </t>
  </si>
  <si>
    <t>Overtime Rates</t>
  </si>
  <si>
    <t>for work performed outside the standard work hours and all Saturday's and Sunday's.</t>
  </si>
  <si>
    <t>Emergency Rates</t>
  </si>
  <si>
    <t xml:space="preserve">for any work that is considered an emergency regardless of when work is performed. </t>
  </si>
  <si>
    <t>Double Time Rates</t>
  </si>
  <si>
    <t>applies to all work performed on a holiday</t>
  </si>
  <si>
    <t>BioRemedy's holidays are New Years Eve, New Years Day, Easter, Memorial Day, Independence Day, Labor Day, Thanksgiving, Black Friday, Christmas Eve and Christmas Day.</t>
  </si>
  <si>
    <t>** There is a Four Hour Minimum for Labor, Trucks, &amp; Equipment on Emergency Call Outs **</t>
  </si>
  <si>
    <t>Section I:  Labor Rates</t>
  </si>
  <si>
    <t>Standard Rate</t>
  </si>
  <si>
    <t>Emergency/ OT Rate</t>
  </si>
  <si>
    <t>Double Time
Rate</t>
  </si>
  <si>
    <t>Unit of Measure</t>
  </si>
  <si>
    <t>Administration</t>
  </si>
  <si>
    <t>Hourly</t>
  </si>
  <si>
    <t>Disposal Coordinator</t>
  </si>
  <si>
    <t>Resource/Logistics Coordinator</t>
  </si>
  <si>
    <t>Site Safety Coordinator</t>
  </si>
  <si>
    <t>Microbial Consultant</t>
  </si>
  <si>
    <t>Senior Project Manager/ER Manager/IC</t>
  </si>
  <si>
    <t>Supervisor</t>
  </si>
  <si>
    <t>Foreman</t>
  </si>
  <si>
    <t>Technician ‐ HazMat trained, Confined Space Certified</t>
  </si>
  <si>
    <t>Recovery Truck Operator</t>
  </si>
  <si>
    <t>Heavy Equipment Operator</t>
  </si>
  <si>
    <t>CDL Truck Driver</t>
  </si>
  <si>
    <t>Mechanic</t>
  </si>
  <si>
    <t>Lodging</t>
  </si>
  <si>
    <t>Per Man Per Day</t>
  </si>
  <si>
    <t>Per Diem</t>
  </si>
  <si>
    <t>Section II:  Equipment and Materials (All Fuel Burning Equipment Will Be Subject To A Fuel Surcharge)</t>
  </si>
  <si>
    <t>Hydro Super Vac</t>
  </si>
  <si>
    <t>N/A</t>
  </si>
  <si>
    <t>Microbial Spray Trailer</t>
  </si>
  <si>
    <t>Daily</t>
  </si>
  <si>
    <t>Environmental CyberResponse Unit</t>
  </si>
  <si>
    <t xml:space="preserve">HazMat Recovery Truck </t>
  </si>
  <si>
    <t>Service/Mechanic Truck</t>
  </si>
  <si>
    <t>3/4 Ton or 1 Ton Pick‐Up/ Dually Truck</t>
  </si>
  <si>
    <t>Pick‐Up Truck (1/2 or smaller)</t>
  </si>
  <si>
    <t>Vactron</t>
  </si>
  <si>
    <t>Toll Tag Fees – Two Axle</t>
  </si>
  <si>
    <t>Each</t>
  </si>
  <si>
    <t>Toll Tag Fees ‐ Four Axels</t>
  </si>
  <si>
    <t>Tractor w/ Van Trailer or Flatbed (Includes Operator)</t>
  </si>
  <si>
    <t>Tractor w/ Dbl Rolloff Trailer</t>
  </si>
  <si>
    <t>BIOREMEDY Bobtail Roll‐Off Truck/Driver (Includes Operator)</t>
  </si>
  <si>
    <t>100 bbl. Vacuum Truck (Includes Operator)</t>
  </si>
  <si>
    <t>70 bbl. Vacuum Truck (Includes Operator)</t>
  </si>
  <si>
    <t>Tractor w/ 130 bbl. Vacuum Tanker (Includes Operator)</t>
  </si>
  <si>
    <t>Tractor w/ 130 bbl. FRP Haz Waste Trailer (Includes Operator)</t>
  </si>
  <si>
    <t>Air Mover / Guzzler / Super Sucker (Includes Operator) BIOREMEDY Owned</t>
  </si>
  <si>
    <t>Washout (Recovery Truck)</t>
  </si>
  <si>
    <t>Washout for Vacuum Truck (Non Haz)</t>
  </si>
  <si>
    <t>Washout for Vacuum Truck (Hazardous)</t>
  </si>
  <si>
    <t>Cost +28% Margin</t>
  </si>
  <si>
    <t>Cost+28% Margin</t>
  </si>
  <si>
    <t>Drum Truck w/Drum Dolly (Include Operator)</t>
  </si>
  <si>
    <t xml:space="preserve">Heavy Equipment                                     </t>
  </si>
  <si>
    <t>Skid Steer Front Loader (Does Not Include Trailer)</t>
  </si>
  <si>
    <t>Mini‐Excavator (Does Not Include Trailer)</t>
  </si>
  <si>
    <t>Skid Steer Attachments</t>
  </si>
  <si>
    <t>Forklift</t>
  </si>
  <si>
    <t>40' Boom Lift</t>
  </si>
  <si>
    <t xml:space="preserve">Trailers                                                                    </t>
  </si>
  <si>
    <t>Gooseneck Equipment Tailer</t>
  </si>
  <si>
    <t>Bumper Pull Flat Bed trailer</t>
  </si>
  <si>
    <t>Mobile Boiler</t>
  </si>
  <si>
    <t>HazMat Response Trailer/Tools Package</t>
  </si>
  <si>
    <t>Oil Spill Trailer</t>
  </si>
  <si>
    <t>Confined Space Rescue Trailer (Includes tri pod w/ winch, 2 harnesses and 2 man rescue gear)</t>
  </si>
  <si>
    <t>Dump Trailer</t>
  </si>
  <si>
    <t xml:space="preserve">Flood Water Removal                                         </t>
  </si>
  <si>
    <t>Air Mover (Floor Dryer)</t>
  </si>
  <si>
    <t>Dehumidifier</t>
  </si>
  <si>
    <t xml:space="preserve">Marine Equipment (All Fuel Burning Equipment Will Be Subject To A Fuel Surcharge)                                              </t>
  </si>
  <si>
    <t>Response Boat w/ Single Engine</t>
  </si>
  <si>
    <t>Water Response Boom Trailer</t>
  </si>
  <si>
    <t>10" Containment Boom</t>
  </si>
  <si>
    <t>Per Foot Per Day</t>
  </si>
  <si>
    <t>18" Containment Boom</t>
  </si>
  <si>
    <t>Drum Skinner</t>
  </si>
  <si>
    <t xml:space="preserve">Pumps and Accessories                                                              </t>
  </si>
  <si>
    <t xml:space="preserve">1" Engine Driven Medium-Pressure Diaphragm Pump </t>
  </si>
  <si>
    <t>Daily + Rebuild Cost Plus 25% Margin</t>
  </si>
  <si>
    <t xml:space="preserve">1" Air Operated Diaphragm Pump </t>
  </si>
  <si>
    <t>2" Stainless Steel Air Operated Diaphragm Pump</t>
  </si>
  <si>
    <t>2" Poly Air Operated Diaphragm Pump</t>
  </si>
  <si>
    <t>2" Aluminum Air Operated Diaphragm Pump</t>
  </si>
  <si>
    <t>3" Poly Air Operated Diaphragm Pump</t>
  </si>
  <si>
    <t>3" Aluminum Air Operated Diaphragm Pump</t>
  </si>
  <si>
    <t>Sump Pump</t>
  </si>
  <si>
    <t>Dura Transfer Pump</t>
  </si>
  <si>
    <t>Disposable Hand Pump</t>
  </si>
  <si>
    <t xml:space="preserve">Hoses/Fittings                                                       </t>
  </si>
  <si>
    <t>3/8" x 25' Air Hose</t>
  </si>
  <si>
    <t>3/4" x 50' Air Hose</t>
  </si>
  <si>
    <t>1" Chemical Suction/Discharge Hose</t>
  </si>
  <si>
    <t>2" Chemical Suction/Discharge Hose</t>
  </si>
  <si>
    <t>2" Suction/Discharge Hose (oil service)</t>
  </si>
  <si>
    <t>3" Suction/Discharge Hose (oil service)</t>
  </si>
  <si>
    <t>4" Suction/Discharge Hose (water service)</t>
  </si>
  <si>
    <t>6" Suction/Discharge Hose (water service)</t>
  </si>
  <si>
    <t>6"x100' ADS hose</t>
  </si>
  <si>
    <t>Based on Market Value</t>
  </si>
  <si>
    <t>Brass Camlock Fittings Assortment</t>
  </si>
  <si>
    <t>Camlock Fittings Assortment</t>
  </si>
  <si>
    <t>Heavy Duty Garden Hose (3/4"x50')</t>
  </si>
  <si>
    <t>Stainless Steel Camlock Fittings Assortment</t>
  </si>
  <si>
    <t xml:space="preserve">Generators / Air Compressors                            </t>
  </si>
  <si>
    <t>Generator to 5kW</t>
  </si>
  <si>
    <t>Generator 5.1kW to 8kW</t>
  </si>
  <si>
    <t>Generator 8.1kW to 10kW</t>
  </si>
  <si>
    <t>Generator 10.1kW to 15kW</t>
  </si>
  <si>
    <t>HD Extension Cord</t>
  </si>
  <si>
    <t>GFCI</t>
  </si>
  <si>
    <t>90 cfm Air Compressor</t>
  </si>
  <si>
    <t>185 cfm Air Compressor</t>
  </si>
  <si>
    <t xml:space="preserve">Pressure Washers / Hydro blasting Equipment                                    </t>
  </si>
  <si>
    <t>3500 psi Trailer Mounted Hot Water Pressure Washer (Includes 100 ft of hose)</t>
  </si>
  <si>
    <t>Additional Pressure Washer Hose</t>
  </si>
  <si>
    <t>Daily ‐ Per 100ft</t>
  </si>
  <si>
    <t>Line Jetting Assembly</t>
  </si>
  <si>
    <t>Extend Reach Pressure Washer Wand</t>
  </si>
  <si>
    <t>20,000 PSI Hydro Blaster (Includes 100 ft hose)</t>
  </si>
  <si>
    <t>Additional Hydro Blasting Hose</t>
  </si>
  <si>
    <t>Hydro Blasting Lances</t>
  </si>
  <si>
    <t>3D Vessel Cleaning Head</t>
  </si>
  <si>
    <t>Hydro Blasting Lance Tips</t>
  </si>
  <si>
    <t xml:space="preserve">Miscellaneous Equipment                  </t>
  </si>
  <si>
    <t>Shop Vac</t>
  </si>
  <si>
    <t>Mercury Vacuum</t>
  </si>
  <si>
    <t>Haz Kat Kit</t>
  </si>
  <si>
    <t>Haz Kat Kit Test</t>
  </si>
  <si>
    <t>Per Test</t>
  </si>
  <si>
    <t>Halogen Light Stand</t>
  </si>
  <si>
    <t>Acetylene/Oxygen Torch Set</t>
  </si>
  <si>
    <t>Acetylene/Oxygen Bottle Refills</t>
  </si>
  <si>
    <t>Welding Machine (includes rods and PPE)</t>
  </si>
  <si>
    <t>Rope Ladder</t>
  </si>
  <si>
    <t>8' Fiberglass Step Ladder</t>
  </si>
  <si>
    <t>16'‐24' Fiberglass Extension Ladder</t>
  </si>
  <si>
    <t>40' Aluminum Extension Ladder</t>
  </si>
  <si>
    <t>24' Aluminum Catwalk with Handrails</t>
  </si>
  <si>
    <t>Grass Cutting String Trimmer</t>
  </si>
  <si>
    <t>Chainsaw</t>
  </si>
  <si>
    <t>Leaf Blower</t>
  </si>
  <si>
    <t>Hand Tool Kit</t>
  </si>
  <si>
    <t>Non‐Sparking Brass Tool Kit</t>
  </si>
  <si>
    <t>Replacement Chain/Cutting Blades</t>
  </si>
  <si>
    <t>Waste Containers</t>
  </si>
  <si>
    <t>15-Gal Open Top Poly</t>
  </si>
  <si>
    <t>275-Gallon Tote (Recon)</t>
  </si>
  <si>
    <t>30-Gal Closed Top Poly</t>
  </si>
  <si>
    <t xml:space="preserve">30-Gal Open Top Poly </t>
  </si>
  <si>
    <t>30-Gal Open Top Steel</t>
  </si>
  <si>
    <t>330-Gallon New Tote</t>
  </si>
  <si>
    <t>330-Gallon Tote (Recon)</t>
  </si>
  <si>
    <t>55-Gal Open Top Steel Drum</t>
  </si>
  <si>
    <t xml:space="preserve">55-Gal Poly Closed Top </t>
  </si>
  <si>
    <t xml:space="preserve">55-Gal Poly Open Top </t>
  </si>
  <si>
    <t>55-Gal Steel Closed Top Steel</t>
  </si>
  <si>
    <t>5-Gal Bucket (DOT Rated)</t>
  </si>
  <si>
    <t>5-Gal Bucket (Non-DOT)</t>
  </si>
  <si>
    <t>85-Gal Steel Salvage Drum</t>
  </si>
  <si>
    <t>95-Gal Poly Overpack</t>
  </si>
  <si>
    <t>Frac Tank</t>
  </si>
  <si>
    <t>Gaylord Box (Hazardous Waste Cubic Yard Box w/ Liner &amp; Pallet)</t>
  </si>
  <si>
    <t>Gaylord Box (Non Haz Cubic Yard Box w/ Liner and Pallet)</t>
  </si>
  <si>
    <t>Roll‐Off Box (vacuum box) 20‐25 cubic yd</t>
  </si>
  <si>
    <t>Roll‐Off Box (w/roll tarp) 20‐25 cubic yd/household garbage</t>
  </si>
  <si>
    <t>Roll‐Off Box Liner</t>
  </si>
  <si>
    <t>Trash Bags</t>
  </si>
  <si>
    <t>Trash Bags (Case)</t>
  </si>
  <si>
    <t xml:space="preserve">Decontamination Equipment                            </t>
  </si>
  <si>
    <t>Disposable Decon Pool</t>
  </si>
  <si>
    <t>2 Gallon Hudson Sprayer</t>
  </si>
  <si>
    <t>Long Handle Scrub Brushes</t>
  </si>
  <si>
    <t>Atomizer</t>
  </si>
  <si>
    <t>Poly Roll</t>
  </si>
  <si>
    <t>Atomizer Sprayer; Application</t>
  </si>
  <si>
    <t>Per sq. ft.</t>
  </si>
  <si>
    <t xml:space="preserve">Personal Protective Equipment                        </t>
  </si>
  <si>
    <t>Suits</t>
  </si>
  <si>
    <t>Level D PPE Package (Hard Hat, Safety Glasses and Safety Vest)</t>
  </si>
  <si>
    <t>Modified Level D PPE Package (Hard Hat, Safety Glasses, Tyvek suit, Latex Gloves)</t>
  </si>
  <si>
    <t>Tychem 2000 Protective Coveralls ‐ Polycoated Tyvek Coveralls</t>
  </si>
  <si>
    <t>Per Suit</t>
  </si>
  <si>
    <t>Tychem 2000 Protective Coveralls ‐ Flame Resistant Coveralls</t>
  </si>
  <si>
    <t>Tychem 4000 Protective Coveralls‐ Serenex/SL</t>
  </si>
  <si>
    <t>Tychem 5000 /  6000 Protective Coveralls</t>
  </si>
  <si>
    <t xml:space="preserve">Tychem 10000 Encapsulated Level‐A Suit </t>
  </si>
  <si>
    <t>Acid/Corrosive Slicker Suit</t>
  </si>
  <si>
    <t>Disposable Slicker Suit ‐ 2 piece</t>
  </si>
  <si>
    <t>Flame Retardant Coveralls</t>
  </si>
  <si>
    <t>Bunker Gear, Complete Set</t>
  </si>
  <si>
    <t>Bunker Gear Refurbishment</t>
  </si>
  <si>
    <t>Life Vest</t>
  </si>
  <si>
    <t>Boots</t>
  </si>
  <si>
    <t>Chemical Resistant HazMat Boots</t>
  </si>
  <si>
    <t>Per Pair</t>
  </si>
  <si>
    <t>Level A Chemical Boots</t>
  </si>
  <si>
    <t>Latex Boot Covers</t>
  </si>
  <si>
    <t>Rubber Boots</t>
  </si>
  <si>
    <t>Chest Waders</t>
  </si>
  <si>
    <t>Metatarsal Leather Boots</t>
  </si>
  <si>
    <t>Metatarsal Rubber Boots</t>
  </si>
  <si>
    <t>Snake Chaps</t>
  </si>
  <si>
    <t>Chainsaw Chaps</t>
  </si>
  <si>
    <t>Gloves</t>
  </si>
  <si>
    <t>Leather Work Gloves</t>
  </si>
  <si>
    <t>Puncture Resistant / Sharps Gloves</t>
  </si>
  <si>
    <t>Inner Protective Gloves (Latex)</t>
  </si>
  <si>
    <t>Nitrile Gloves (Chemical)</t>
  </si>
  <si>
    <t>PVC Gloves (Chemical)</t>
  </si>
  <si>
    <t>Butyl Rubber Gloves</t>
  </si>
  <si>
    <t>Face, Respiratory and Hearing</t>
  </si>
  <si>
    <t>Safety Glasses</t>
  </si>
  <si>
    <t>Face Shield (hard hat mounted)</t>
  </si>
  <si>
    <t>Face Shield Replacement Lens</t>
  </si>
  <si>
    <t>Dust/Particulate Mask</t>
  </si>
  <si>
    <t>Half Face Air Purifying Respirator</t>
  </si>
  <si>
    <t>Full Face Air Purifying Respirator</t>
  </si>
  <si>
    <t>HEPA Filter Cartridges</t>
  </si>
  <si>
    <t>Organic Vapor Cartridges</t>
  </si>
  <si>
    <t>Chemical Vapor Cartridges</t>
  </si>
  <si>
    <t>Disposable Foam Earplugs</t>
  </si>
  <si>
    <t>Safety Support Equipment</t>
  </si>
  <si>
    <t>10lb A, B, C Dry Chemical Fire Extinguisher</t>
  </si>
  <si>
    <t>20lb A, B, C Dry Chemical Fire Extinguisher</t>
  </si>
  <si>
    <t>60-minute SCBA</t>
  </si>
  <si>
    <t>6'‐8' Venturi Blower (coppus blower)</t>
  </si>
  <si>
    <t>Breathing Air Refills</t>
  </si>
  <si>
    <t>Explosion‐Proof Drop Light</t>
  </si>
  <si>
    <t>Explosion‐Proof Flood Light</t>
  </si>
  <si>
    <t>Eye Wash Replacement Solution (180 oz.)</t>
  </si>
  <si>
    <t>First Aid/Burn Kit</t>
  </si>
  <si>
    <t>Fuel Transfer Pump</t>
  </si>
  <si>
    <t>Full Body Harness/Fall Protection Lanyard</t>
  </si>
  <si>
    <t>Hot Tap plus Tools</t>
  </si>
  <si>
    <t>Intrinsically Safe Flashlight</t>
  </si>
  <si>
    <t>Portable Hand Washing Station</t>
  </si>
  <si>
    <t>Portable Ventilation Fan (electric, includes 15' duct)</t>
  </si>
  <si>
    <t>Traffic Control Plan</t>
  </si>
  <si>
    <t>Tripod. Winch Personnel Retrieval Kit</t>
  </si>
  <si>
    <t>WOB Lights</t>
  </si>
  <si>
    <t>Atmospheric Testing, Communication and Electronic Equipment</t>
  </si>
  <si>
    <t>4‐Gas Air Monitoring Instrument</t>
  </si>
  <si>
    <t>Draeger CMS Air Monitoring Instrument</t>
  </si>
  <si>
    <t>pH Meter</t>
  </si>
  <si>
    <t>PID</t>
  </si>
  <si>
    <t>2 Way Radio</t>
  </si>
  <si>
    <t>Waste Management/Disposal</t>
  </si>
  <si>
    <t>10 Day Waste Storage Fee In excess of 10 Days</t>
  </si>
  <si>
    <t>Analytical Testing</t>
  </si>
  <si>
    <t xml:space="preserve">BIOHAZARDOUS Bio Box Disposal </t>
  </si>
  <si>
    <t>BIOHAZARDOUS CY Box Disposal</t>
  </si>
  <si>
    <t>BIOHAZARDOUS Drum Disposal</t>
  </si>
  <si>
    <t>EPA Waste Manifest Fee</t>
  </si>
  <si>
    <t xml:space="preserve">Hazardous Waste Disposal </t>
  </si>
  <si>
    <t>Hazardous Waste Management/ Profiling Fee</t>
  </si>
  <si>
    <t>Liquid Disposal ‐ hydrocarbons and water</t>
  </si>
  <si>
    <t>Per Gallon</t>
  </si>
  <si>
    <t xml:space="preserve">Non‐Hazardous Waste Disposal </t>
  </si>
  <si>
    <t>Non-Hazardous Waste Management / Profiling Fee</t>
  </si>
  <si>
    <t>Non‐Hazardous Waste Transportation Fee</t>
  </si>
  <si>
    <t>Per Load</t>
  </si>
  <si>
    <t>Rush Profiling Fee</t>
  </si>
  <si>
    <t xml:space="preserve">Sampling Supplies </t>
  </si>
  <si>
    <t>Per Sample</t>
  </si>
  <si>
    <t>TCEQ Report</t>
  </si>
  <si>
    <t xml:space="preserve">Absorbent Materials                                           </t>
  </si>
  <si>
    <t>White, Oil Absorbent Pads (100/bale)</t>
  </si>
  <si>
    <t>Per Bale</t>
  </si>
  <si>
    <t>Grey, Universal Absorbent Pads (100/bale)</t>
  </si>
  <si>
    <t>Green, Chemical Absorbent Pads (100/bale)</t>
  </si>
  <si>
    <t>Floor Dry/Stay Dry (Clay Absorbent/40 lb. bag)</t>
  </si>
  <si>
    <t>Per Bag</t>
  </si>
  <si>
    <t>Diatomaceous Earth (Inert Absorbent)</t>
  </si>
  <si>
    <t>3 ft Absorbent Sock</t>
  </si>
  <si>
    <t>Per Section</t>
  </si>
  <si>
    <t>5 ft Absorbent Sock</t>
  </si>
  <si>
    <t>10 ft Absorbent Sock</t>
  </si>
  <si>
    <t>20 ft Absorbent Sock</t>
  </si>
  <si>
    <t>5" Oil Absorbent Boom (40' bale)</t>
  </si>
  <si>
    <t>Oil Absorbent Sweep (100'x19")</t>
  </si>
  <si>
    <t xml:space="preserve">Chemicals and Miscellaneous Consumables                                                        </t>
  </si>
  <si>
    <t>Agri-Bac</t>
  </si>
  <si>
    <t>Barrier Tape</t>
  </si>
  <si>
    <t>Per Roll</t>
  </si>
  <si>
    <t>Bleach</t>
  </si>
  <si>
    <t>Caustic Soda Beads</t>
  </si>
  <si>
    <t>Chem tape</t>
  </si>
  <si>
    <t>Cleaner/Degreaser</t>
  </si>
  <si>
    <t>Color‐Safe Acid</t>
  </si>
  <si>
    <t>Color‐Safe Base</t>
  </si>
  <si>
    <t>Distilled Water</t>
  </si>
  <si>
    <t>Duct Tape</t>
  </si>
  <si>
    <t>pFOS-Bac</t>
  </si>
  <si>
    <t>Hydrogen Peroxide ‐ 35%</t>
  </si>
  <si>
    <t>M-1000H*</t>
  </si>
  <si>
    <t>Mega-Bac X</t>
  </si>
  <si>
    <t>Mega-Bac X Granulated</t>
  </si>
  <si>
    <t>Per Pail</t>
  </si>
  <si>
    <t>Metal T‐post</t>
  </si>
  <si>
    <t>Micro-Bac</t>
  </si>
  <si>
    <t>Muriatic or Hydrochloric Acid</t>
  </si>
  <si>
    <t>pH Test Strips</t>
  </si>
  <si>
    <t>Soda Ash</t>
  </si>
  <si>
    <t>Tri-Phasic 12</t>
  </si>
  <si>
    <t>Wooden Stakes</t>
  </si>
  <si>
    <t>Remediation Laboratory Services (Non-Analytical)</t>
  </si>
  <si>
    <t>Activity Check</t>
  </si>
  <si>
    <t>Bioremediation Study</t>
  </si>
  <si>
    <t>Flow Rating</t>
  </si>
  <si>
    <t>Heterotrophic Plate Count</t>
  </si>
  <si>
    <t>Presence Check</t>
  </si>
  <si>
    <t>Toxicity</t>
  </si>
  <si>
    <t>Treatment Index</t>
  </si>
  <si>
    <t>Viscosity Analysis – Multi temp. (5 Temp)</t>
  </si>
  <si>
    <t>Viscosity Analysis – Single temp.</t>
  </si>
  <si>
    <t>Water Analysis</t>
  </si>
  <si>
    <t>Section III: Explanatory Notes</t>
  </si>
  <si>
    <t>1.Rental period begins with an item of equipment is first made available for use on the Work Site and continues until such equipment is returned to BioRemedy Services (BioRemedy) for use on another project or is returned to a third‐party supplier.</t>
  </si>
  <si>
    <t xml:space="preserve">2. The rates scheduled above apply to company owned equipment in the performance of the work. Rental shall be charged for all hours the equipment is in the possession of BioRemedy employees performing work at the Work Site, whether or not such equipment is in constant use. </t>
  </si>
  <si>
    <t>3. Charges for equipment operation are not included in equipment rates and will be charged using the appropriate labor category in Section I.</t>
  </si>
  <si>
    <t>4. During the course of performance of the work, BioRemedy may add additional equipment items to the schedules above rates to be determined by BioRemedy and approved by Customer.</t>
  </si>
  <si>
    <t>5. If any item of rental equipment is damaged at the work site, BioRemedy shall be entitled, at its option, in lieu of rental, to charge the replacement or repair cost of such items of equipment. Repair or replacement cost will be billed at Cost plus (28% margin).</t>
  </si>
  <si>
    <t>6. Decontamination charges for hose, boom, etc., will be charged according to the applicable labor and equipment rates identified in the schedule.</t>
  </si>
  <si>
    <t>7. Rebuild fees will be charged when the pump is damaged during operation. Repair parts and labor may be charged in lieu of rebuild fees when minor damage occurs.</t>
  </si>
  <si>
    <t>8. Above rates are based on availability of BioRemedy owned equipment. All subcontracted equipment will be invoiced at cost + 28% margin</t>
  </si>
  <si>
    <t xml:space="preserve">9. Travel time from yard to job site will be included in total work hours. </t>
  </si>
  <si>
    <t>Notes for Vehicles</t>
  </si>
  <si>
    <t>1. Fuel surcharges will be added to Each invoice based upon the average price of fuel, as determined by the price reported by the US Department of Energy.</t>
  </si>
  <si>
    <t xml:space="preserve">Notes for Materials </t>
  </si>
  <si>
    <t>The foregoing process shall be applied to all materials which are utilized during the performance.</t>
  </si>
  <si>
    <t>1. During the course of performance of the work, BioRemedy may add additional materials to the schedules above at rates to be determined by BioRemedy and approved by Customer.</t>
  </si>
  <si>
    <t>2. The above rates for gloves, boots, and respirator cartridges are per pair except where noted otherwise.</t>
  </si>
  <si>
    <t xml:space="preserve">Subcontractor Services </t>
  </si>
  <si>
    <t>The compensation paid to BioRemedy for all laboratory services, testing services, and/or other services which are not performed by individuals scheduled in Section I, II, or III above working under the direct supervision of BioRemedy; but rather, are subcontracted by BioRemedy, shall be BioRemedy cost for such subcontract service plus (28% margin), or at BioRemedy rate identified in Section I or II of this schedule.</t>
  </si>
  <si>
    <t>Non‐Scheduled Equipment</t>
  </si>
  <si>
    <t>The compensation paid BioRemedy for any equipment utilized by BioRemedy in performance of the work, which is not listed in schedules above, shall be as follows:</t>
  </si>
  <si>
    <t>1. For such unscheduled equipment, which is rented by BioRemedy for performance of the work, the price shall be BIOREMEDY cost of such equipment plus (28% margin).</t>
  </si>
  <si>
    <t>2. For such unscheduled equipment or materials which is provided from BIOREMEDY inventory or purchased by BIOREMEDY specifically for performance of the work, the price shall be the reduction in value for such equipment plus (28% margin). The reduction in value shall be the acquisition cost of the equipment times the proportion which the use of the equipment (in days and/or hours of use) bears to the total useful life (in days and/or hours of use) of such equipment.</t>
  </si>
  <si>
    <t>Travel, Lodging, and Per Diem</t>
  </si>
  <si>
    <t>For all employees who do not reside in the local commuting area for the duration of the work, BIOREMEDY shall be reimbursed for costs incurred for employee travel to and from the work site on the basis of BIOREMEDY cost incurred plus (28% margin). For all employees who do not reside in the local commuting area for the site of the work, lodging and per diem will be charged for each day that such employee is present at the locale of the work. Per Diem will be calculated by referencing the General Service Administration website (www.gsa.gov) with a minimum of $125.00 per day, per person.</t>
  </si>
  <si>
    <t>Energy, Security &amp; Insurance</t>
  </si>
  <si>
    <t>BIOREMEDY shall apply a 18%, of the total invoice, environmental Fee for training, environmental demands and regulations.</t>
  </si>
  <si>
    <t>Laboratory Services</t>
  </si>
  <si>
    <t>Remediation Laboratory Services listed on the rate sheet are considered Non-Accredited Tests, also referred to as "Commercial Tests". These tests are conducted by a non-accredited laboratory and may not meet the same standards as those performed by accredited laboratories. These tests are intended to be used as simple indicators to guide remediation crews and are not analytical results intended for external use. The results are not suitable for site characterization, remediation levels, State or Federal Reporting, or any external communication that portrays these results as coming from an accredited source.</t>
  </si>
  <si>
    <t>Cost + 28% Margin</t>
  </si>
  <si>
    <t>for work performed outside the standard work hours and all Saturdays and Sundays.</t>
  </si>
  <si>
    <t>3/4 Ton or 1 Ton Pick‐Up Truck</t>
  </si>
  <si>
    <t>Cost + 10% Margin</t>
  </si>
  <si>
    <t>BIOREMEDY 100 bbl. Vacuum Truck (Includes Operator)</t>
  </si>
  <si>
    <t>Skid Steer Front Loader (Does Not Include Operator or Trailer)</t>
  </si>
  <si>
    <t>Mini‐Excavator (Does Not Include Operator or Trailer)</t>
  </si>
  <si>
    <t>Skid Steer Attachments (price listed or cost plus 20%)</t>
  </si>
  <si>
    <t>Forklift (does not include pick up or drop off charges)</t>
  </si>
  <si>
    <t>40' Boom Lift (does not include pick up or drop off charges)</t>
  </si>
  <si>
    <t xml:space="preserve">Per Foot </t>
  </si>
  <si>
    <t>600-1200</t>
  </si>
  <si>
    <t>Each (BASED ON TIME TO COMPLETE)</t>
  </si>
  <si>
    <t>3. Charges for equipment operation are not included in equipment rates and will be charged using the appropriate labor category in Section I unless stated otherwise.</t>
  </si>
  <si>
    <t>8. Above rates are based on availability of BioRemedy owned equipment. All subcontracted equipment will be invoiced at cost + 28% margin unless otherwise stated.</t>
  </si>
  <si>
    <t>BIOREMEDY shall apply a fee of 18% of the total invoice for Environmental Insurance &amp; Security &amp; Energy Regulation Compliance (fuel is excluded from this fee)</t>
  </si>
  <si>
    <t>BioRemedy RATE SHEET</t>
  </si>
  <si>
    <t>Holidays are New Years Eve, New Years Day, Easter, Memorial Day, Independence Day, Labor Day, Thanksgiving, Black Friday, Christmas Eve and Christmas Day.</t>
  </si>
  <si>
    <t>Decibel Meter A/C Weighted</t>
  </si>
  <si>
    <t>PFOS-Bac</t>
  </si>
  <si>
    <t>Micro-Bac-S</t>
  </si>
  <si>
    <t>Drone Service (includes Operator)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</si>
</sst>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b/>
      <sz val="10"/>
      <color rgb="FFFFFFFF"/>
      <name val="Calibri"/>
      <family val="2"/>
    </font>
    <font>
      <sz val="7.5"/>
      <color rgb="FF000000"/>
      <name val="Calibri"/>
      <family val="2"/>
    </font>
    <font>
      <b/>
      <sz val="9.5"/>
      <color rgb="FFFFFFFF"/>
      <name val="Calibri"/>
      <family val="2"/>
    </font>
    <font>
      <sz val="7"/>
      <color rgb="FF000000"/>
      <name val="Calibri"/>
      <family val="2"/>
    </font>
    <font>
      <b/>
      <sz val="9.5"/>
      <color rgb="FF000000"/>
      <name val="Calibri"/>
      <family val="2"/>
    </font>
    <font>
      <b/>
      <sz val="8"/>
      <color rgb="FF000000"/>
      <name val="Calibri"/>
      <family val="2"/>
    </font>
    <font>
      <b/>
      <sz val="7.5"/>
      <color rgb="FF000000"/>
      <name val="Calibri"/>
      <family val="2"/>
    </font>
    <font>
      <sz val="9"/>
      <color theme="1"/>
      <name val="Aptos Narrow"/>
      <family val="2"/>
      <scheme val="minor"/>
    </font>
    <font>
      <b/>
      <u/>
      <sz val="8"/>
      <color rgb="FF3B3C88"/>
      <name val="Calibri"/>
      <family val="2"/>
    </font>
    <font>
      <sz val="8"/>
      <color rgb="FF000000"/>
      <name val="Calibri"/>
      <family val="2"/>
    </font>
    <font>
      <sz val="11"/>
      <color theme="1"/>
      <name val="Calibri"/>
      <family val="2"/>
    </font>
    <font>
      <i/>
      <sz val="8"/>
      <color theme="1"/>
      <name val="Calibri"/>
      <family val="2"/>
    </font>
    <font>
      <b/>
      <sz val="7"/>
      <color rgb="FFFFFFFF"/>
      <name val="Calibri"/>
      <family val="2"/>
    </font>
    <font>
      <b/>
      <sz val="11"/>
      <color rgb="FFFFFFFF"/>
      <name val="Calibri"/>
      <family val="2"/>
    </font>
    <font>
      <b/>
      <sz val="9.5"/>
      <color theme="0"/>
      <name val="Calibri"/>
      <family val="2"/>
    </font>
    <font>
      <sz val="7.5"/>
      <color theme="0"/>
      <name val="Calibri"/>
      <family val="2"/>
    </font>
    <font>
      <b/>
      <sz val="11"/>
      <color theme="0"/>
      <name val="Calibri"/>
      <family val="2"/>
    </font>
    <font>
      <b/>
      <sz val="10"/>
      <color theme="0"/>
      <name val="Calibri"/>
      <family val="2"/>
    </font>
  </fonts>
  <fills count="8">
    <fill>
      <patternFill patternType="none"/>
    </fill>
    <fill>
      <patternFill patternType="gray125"/>
    </fill>
    <fill>
      <patternFill patternType="solid">
        <fgColor rgb="FF3B3C88"/>
        <bgColor indexed="64"/>
      </patternFill>
    </fill>
    <fill>
      <patternFill patternType="solid">
        <fgColor rgb="FFFFFFFF"/>
        <bgColor indexed="64"/>
      </patternFill>
    </fill>
    <fill>
      <patternFill patternType="solid">
        <fgColor rgb="FF4EA72E"/>
        <bgColor indexed="64"/>
      </patternFill>
    </fill>
    <fill>
      <patternFill patternType="solid">
        <fgColor rgb="FFB3E5A1"/>
        <bgColor indexed="64"/>
      </patternFill>
    </fill>
    <fill>
      <patternFill patternType="solid">
        <fgColor rgb="FF00B050"/>
        <bgColor indexed="64"/>
      </patternFill>
    </fill>
    <fill>
      <patternFill patternType="solid">
        <fgColor theme="3" tint="0.249977111117893"/>
        <bgColor indexed="64"/>
      </patternFill>
    </fill>
  </fills>
  <borders count="4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medium">
        <color indexed="64"/>
      </left>
      <right/>
      <top/>
      <bottom/>
      <diagonal/>
    </border>
    <border>
      <left style="thin">
        <color indexed="64"/>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32">
    <xf numFmtId="0" fontId="0" fillId="0" borderId="0" xfId="0"/>
    <xf numFmtId="0" fontId="0" fillId="0" borderId="0" xfId="0" applyAlignment="1">
      <alignment wrapText="1"/>
    </xf>
    <xf numFmtId="0" fontId="3" fillId="3" borderId="13"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3" borderId="27" xfId="0" applyFont="1" applyFill="1" applyBorder="1" applyAlignment="1">
      <alignment horizontal="center" vertical="center" wrapText="1"/>
    </xf>
    <xf numFmtId="0" fontId="2" fillId="2" borderId="28" xfId="0" applyFont="1" applyFill="1" applyBorder="1" applyAlignment="1">
      <alignment vertical="center" wrapText="1"/>
    </xf>
    <xf numFmtId="0" fontId="2" fillId="2" borderId="20" xfId="0" applyFont="1" applyFill="1" applyBorder="1" applyAlignment="1">
      <alignment horizontal="center" vertical="center" wrapText="1"/>
    </xf>
    <xf numFmtId="0" fontId="2" fillId="2" borderId="21" xfId="0" applyFont="1" applyFill="1" applyBorder="1" applyAlignment="1">
      <alignment horizontal="center" vertical="center" wrapText="1"/>
    </xf>
    <xf numFmtId="2" fontId="3" fillId="3" borderId="17" xfId="0" applyNumberFormat="1" applyFont="1" applyFill="1" applyBorder="1" applyAlignment="1">
      <alignment horizontal="center" vertical="center" wrapText="1"/>
    </xf>
    <xf numFmtId="2" fontId="3" fillId="3" borderId="5" xfId="0" applyNumberFormat="1" applyFont="1" applyFill="1" applyBorder="1" applyAlignment="1">
      <alignment horizontal="center" vertical="center" wrapText="1"/>
    </xf>
    <xf numFmtId="2" fontId="3" fillId="3" borderId="18" xfId="0" applyNumberFormat="1" applyFont="1" applyFill="1" applyBorder="1" applyAlignment="1">
      <alignment horizontal="center" vertical="center" wrapText="1"/>
    </xf>
    <xf numFmtId="2" fontId="5" fillId="3" borderId="5" xfId="0" applyNumberFormat="1" applyFont="1" applyFill="1" applyBorder="1" applyAlignment="1">
      <alignment horizontal="center" vertical="center" wrapText="1"/>
    </xf>
    <xf numFmtId="2" fontId="5" fillId="3" borderId="18" xfId="0" applyNumberFormat="1" applyFont="1" applyFill="1" applyBorder="1" applyAlignment="1">
      <alignment horizontal="center" vertical="center" wrapText="1"/>
    </xf>
    <xf numFmtId="2" fontId="3" fillId="0" borderId="17" xfId="0" applyNumberFormat="1" applyFont="1" applyBorder="1" applyAlignment="1">
      <alignment horizontal="center" vertical="center" wrapText="1"/>
    </xf>
    <xf numFmtId="2" fontId="3" fillId="0" borderId="5" xfId="0" applyNumberFormat="1" applyFont="1" applyBorder="1" applyAlignment="1">
      <alignment horizontal="center" vertical="center" wrapText="1"/>
    </xf>
    <xf numFmtId="2" fontId="3" fillId="3" borderId="15" xfId="0" applyNumberFormat="1" applyFont="1" applyFill="1" applyBorder="1" applyAlignment="1">
      <alignment horizontal="center" vertical="center" wrapText="1"/>
    </xf>
    <xf numFmtId="0" fontId="14" fillId="0" borderId="0" xfId="0" applyFont="1" applyAlignment="1">
      <alignment vertical="center" wrapText="1"/>
    </xf>
    <xf numFmtId="2" fontId="0" fillId="0" borderId="0" xfId="0" applyNumberFormat="1"/>
    <xf numFmtId="2" fontId="17" fillId="0" borderId="0" xfId="0" applyNumberFormat="1" applyFont="1" applyAlignment="1">
      <alignment horizontal="center" vertical="center" wrapText="1"/>
    </xf>
    <xf numFmtId="2" fontId="3" fillId="3" borderId="39" xfId="0" applyNumberFormat="1" applyFont="1" applyFill="1" applyBorder="1" applyAlignment="1">
      <alignment horizontal="center" vertical="center" wrapText="1"/>
    </xf>
    <xf numFmtId="0" fontId="0" fillId="0" borderId="40" xfId="0" applyBorder="1"/>
    <xf numFmtId="0" fontId="19" fillId="6" borderId="28" xfId="0" applyFont="1" applyFill="1" applyBorder="1" applyAlignment="1">
      <alignment vertical="center" wrapText="1"/>
    </xf>
    <xf numFmtId="0" fontId="19" fillId="6" borderId="20" xfId="0" applyFont="1" applyFill="1" applyBorder="1" applyAlignment="1">
      <alignment horizontal="center" vertical="center" wrapText="1"/>
    </xf>
    <xf numFmtId="0" fontId="19" fillId="6" borderId="21" xfId="0" applyFont="1" applyFill="1" applyBorder="1" applyAlignment="1">
      <alignment horizontal="center" vertical="center" wrapText="1"/>
    </xf>
    <xf numFmtId="0" fontId="3" fillId="3" borderId="31"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25" xfId="0" applyFont="1" applyFill="1" applyBorder="1" applyAlignment="1">
      <alignment vertical="center" wrapText="1"/>
    </xf>
    <xf numFmtId="0" fontId="3" fillId="3" borderId="18" xfId="0" applyFont="1" applyFill="1" applyBorder="1" applyAlignment="1">
      <alignment vertical="center" wrapText="1"/>
    </xf>
    <xf numFmtId="0" fontId="3" fillId="3" borderId="26" xfId="0" applyFont="1" applyFill="1" applyBorder="1" applyAlignment="1">
      <alignment vertical="center" wrapText="1"/>
    </xf>
    <xf numFmtId="0" fontId="3" fillId="3" borderId="31" xfId="0" applyFont="1" applyFill="1" applyBorder="1" applyAlignment="1">
      <alignment vertical="center" wrapText="1"/>
    </xf>
    <xf numFmtId="0" fontId="3" fillId="3" borderId="6" xfId="0" applyFont="1" applyFill="1" applyBorder="1" applyAlignment="1">
      <alignment vertical="center" wrapText="1"/>
    </xf>
    <xf numFmtId="0" fontId="3" fillId="3" borderId="7" xfId="0" applyFont="1" applyFill="1" applyBorder="1" applyAlignment="1">
      <alignment vertical="center" wrapText="1"/>
    </xf>
    <xf numFmtId="0" fontId="3" fillId="3" borderId="5" xfId="0" applyFont="1" applyFill="1" applyBorder="1" applyAlignment="1">
      <alignment vertical="center" wrapText="1"/>
    </xf>
    <xf numFmtId="0" fontId="3" fillId="3" borderId="13" xfId="0" applyFont="1" applyFill="1" applyBorder="1" applyAlignment="1">
      <alignment vertical="center" wrapText="1"/>
    </xf>
    <xf numFmtId="0" fontId="1" fillId="0" borderId="0" xfId="0" applyFont="1" applyAlignment="1">
      <alignment horizontal="center"/>
    </xf>
    <xf numFmtId="0" fontId="18" fillId="7" borderId="19" xfId="0" applyFont="1" applyFill="1" applyBorder="1" applyAlignment="1">
      <alignment vertical="center" wrapText="1"/>
    </xf>
    <xf numFmtId="0" fontId="18" fillId="7" borderId="20" xfId="0" applyFont="1" applyFill="1" applyBorder="1" applyAlignment="1">
      <alignment vertical="center" wrapText="1"/>
    </xf>
    <xf numFmtId="0" fontId="18" fillId="7" borderId="21" xfId="0" applyFont="1" applyFill="1" applyBorder="1" applyAlignment="1">
      <alignment vertical="center" wrapText="1"/>
    </xf>
    <xf numFmtId="0" fontId="3" fillId="3" borderId="37" xfId="0" applyFont="1" applyFill="1" applyBorder="1" applyAlignment="1">
      <alignment vertical="center" wrapText="1"/>
    </xf>
    <xf numFmtId="0" fontId="3" fillId="3" borderId="22" xfId="0" applyFont="1" applyFill="1" applyBorder="1" applyAlignment="1">
      <alignment vertical="center" wrapText="1"/>
    </xf>
    <xf numFmtId="0" fontId="3" fillId="3" borderId="38" xfId="0" applyFont="1" applyFill="1" applyBorder="1" applyAlignment="1">
      <alignment vertical="center" wrapText="1"/>
    </xf>
    <xf numFmtId="0" fontId="3" fillId="3" borderId="30" xfId="0" applyFont="1" applyFill="1" applyBorder="1" applyAlignment="1">
      <alignment vertical="center" wrapText="1"/>
    </xf>
    <xf numFmtId="0" fontId="3" fillId="3" borderId="29" xfId="0" applyFont="1" applyFill="1" applyBorder="1" applyAlignment="1">
      <alignment vertical="center" wrapText="1"/>
    </xf>
    <xf numFmtId="0" fontId="3" fillId="3" borderId="4" xfId="0" applyFont="1" applyFill="1" applyBorder="1" applyAlignment="1">
      <alignment vertical="center" wrapText="1"/>
    </xf>
    <xf numFmtId="0" fontId="3" fillId="3" borderId="9" xfId="0" applyFont="1" applyFill="1" applyBorder="1" applyAlignment="1">
      <alignment vertical="center" wrapText="1"/>
    </xf>
    <xf numFmtId="0" fontId="3" fillId="3" borderId="10" xfId="0" applyFont="1" applyFill="1" applyBorder="1" applyAlignment="1">
      <alignment vertical="center" wrapText="1"/>
    </xf>
    <xf numFmtId="0" fontId="3" fillId="3" borderId="11" xfId="0" applyFont="1" applyFill="1" applyBorder="1" applyAlignment="1">
      <alignment vertical="center" wrapText="1"/>
    </xf>
    <xf numFmtId="0" fontId="3" fillId="3" borderId="12" xfId="0" applyFont="1" applyFill="1" applyBorder="1" applyAlignment="1">
      <alignment vertical="center" wrapText="1"/>
    </xf>
    <xf numFmtId="0" fontId="18" fillId="7" borderId="30" xfId="0" applyFont="1" applyFill="1" applyBorder="1" applyAlignment="1">
      <alignment vertical="center" wrapText="1"/>
    </xf>
    <xf numFmtId="0" fontId="18" fillId="7" borderId="29" xfId="0" applyFont="1" applyFill="1" applyBorder="1" applyAlignment="1">
      <alignment vertical="center" wrapText="1"/>
    </xf>
    <xf numFmtId="0" fontId="18" fillId="7" borderId="4" xfId="0" applyFont="1" applyFill="1" applyBorder="1" applyAlignment="1">
      <alignment vertical="center" wrapText="1"/>
    </xf>
    <xf numFmtId="0" fontId="3" fillId="3" borderId="24" xfId="0" applyFont="1" applyFill="1" applyBorder="1" applyAlignment="1">
      <alignment vertical="center" wrapText="1"/>
    </xf>
    <xf numFmtId="0" fontId="3" fillId="3" borderId="17" xfId="0" applyFont="1" applyFill="1" applyBorder="1" applyAlignment="1">
      <alignment vertical="center" wrapText="1"/>
    </xf>
    <xf numFmtId="0" fontId="3" fillId="3" borderId="27" xfId="0" applyFont="1" applyFill="1" applyBorder="1" applyAlignment="1">
      <alignment vertical="center" wrapText="1"/>
    </xf>
    <xf numFmtId="0" fontId="15" fillId="7" borderId="19" xfId="0" applyFont="1" applyFill="1" applyBorder="1" applyAlignment="1">
      <alignment vertical="center" wrapText="1"/>
    </xf>
    <xf numFmtId="0" fontId="15" fillId="7" borderId="20" xfId="0" applyFont="1" applyFill="1" applyBorder="1" applyAlignment="1">
      <alignment vertical="center" wrapText="1"/>
    </xf>
    <xf numFmtId="0" fontId="15" fillId="7" borderId="21" xfId="0" applyFont="1" applyFill="1" applyBorder="1" applyAlignment="1">
      <alignment vertical="center" wrapText="1"/>
    </xf>
    <xf numFmtId="0" fontId="3" fillId="0" borderId="5" xfId="0" applyFont="1" applyBorder="1" applyAlignment="1">
      <alignment vertical="center" wrapText="1"/>
    </xf>
    <xf numFmtId="0" fontId="3" fillId="0" borderId="13" xfId="0" applyFont="1" applyBorder="1" applyAlignment="1">
      <alignment vertical="center" wrapText="1"/>
    </xf>
    <xf numFmtId="0" fontId="3" fillId="0" borderId="17" xfId="0" applyFont="1" applyBorder="1" applyAlignment="1">
      <alignment vertical="center" wrapText="1"/>
    </xf>
    <xf numFmtId="0" fontId="3" fillId="0" borderId="27" xfId="0" applyFont="1" applyBorder="1" applyAlignment="1">
      <alignment vertical="center" wrapText="1"/>
    </xf>
    <xf numFmtId="0" fontId="17" fillId="0" borderId="0" xfId="0" applyFont="1" applyAlignment="1">
      <alignment vertical="center" wrapText="1"/>
    </xf>
    <xf numFmtId="0" fontId="18" fillId="6" borderId="12" xfId="0" applyFont="1" applyFill="1" applyBorder="1" applyAlignment="1">
      <alignment vertical="center" wrapText="1"/>
    </xf>
    <xf numFmtId="0" fontId="18" fillId="6" borderId="5" xfId="0" applyFont="1" applyFill="1" applyBorder="1" applyAlignment="1">
      <alignment vertical="center" wrapText="1"/>
    </xf>
    <xf numFmtId="0" fontId="18" fillId="6" borderId="13" xfId="0" applyFont="1" applyFill="1" applyBorder="1" applyAlignment="1">
      <alignment vertical="center" wrapText="1"/>
    </xf>
    <xf numFmtId="0" fontId="18" fillId="6" borderId="19" xfId="0" applyFont="1" applyFill="1" applyBorder="1" applyAlignment="1">
      <alignment vertical="center" wrapText="1"/>
    </xf>
    <xf numFmtId="0" fontId="18" fillId="6" borderId="20" xfId="0" applyFont="1" applyFill="1" applyBorder="1" applyAlignment="1">
      <alignment vertical="center" wrapText="1"/>
    </xf>
    <xf numFmtId="0" fontId="18" fillId="6" borderId="21" xfId="0" applyFont="1" applyFill="1" applyBorder="1" applyAlignment="1">
      <alignment vertical="center" wrapText="1"/>
    </xf>
    <xf numFmtId="0" fontId="16" fillId="0" borderId="8" xfId="0" applyFont="1" applyBorder="1" applyAlignment="1">
      <alignment vertical="center" wrapText="1"/>
    </xf>
    <xf numFmtId="0" fontId="18" fillId="6" borderId="30" xfId="0" applyFont="1" applyFill="1" applyBorder="1" applyAlignment="1">
      <alignment vertical="center" wrapText="1"/>
    </xf>
    <xf numFmtId="0" fontId="18" fillId="6" borderId="29" xfId="0" applyFont="1" applyFill="1" applyBorder="1" applyAlignment="1">
      <alignment vertical="center" wrapText="1"/>
    </xf>
    <xf numFmtId="0" fontId="18" fillId="6" borderId="4" xfId="0" applyFont="1" applyFill="1" applyBorder="1" applyAlignment="1">
      <alignment vertical="center" wrapText="1"/>
    </xf>
    <xf numFmtId="0" fontId="3" fillId="3" borderId="41" xfId="0" applyFont="1" applyFill="1" applyBorder="1" applyAlignment="1">
      <alignment vertical="center" wrapText="1"/>
    </xf>
    <xf numFmtId="0" fontId="3" fillId="0" borderId="12" xfId="0" applyFont="1" applyBorder="1" applyAlignment="1">
      <alignment vertical="center" wrapText="1"/>
    </xf>
    <xf numFmtId="0" fontId="18" fillId="6" borderId="1" xfId="0" applyFont="1" applyFill="1" applyBorder="1" applyAlignment="1">
      <alignment vertical="center" wrapText="1"/>
    </xf>
    <xf numFmtId="0" fontId="18" fillId="6" borderId="2" xfId="0" applyFont="1" applyFill="1" applyBorder="1" applyAlignment="1">
      <alignment vertical="center" wrapText="1"/>
    </xf>
    <xf numFmtId="0" fontId="18" fillId="6" borderId="3" xfId="0" applyFont="1" applyFill="1" applyBorder="1" applyAlignment="1">
      <alignment vertical="center" wrapText="1"/>
    </xf>
    <xf numFmtId="0" fontId="3" fillId="3" borderId="35" xfId="0" applyFont="1" applyFill="1" applyBorder="1" applyAlignment="1">
      <alignment vertical="center" wrapText="1"/>
    </xf>
    <xf numFmtId="0" fontId="3" fillId="3" borderId="36" xfId="0" applyFont="1" applyFill="1" applyBorder="1" applyAlignment="1">
      <alignment vertical="center" wrapText="1"/>
    </xf>
    <xf numFmtId="0" fontId="3" fillId="3" borderId="23" xfId="0" applyFont="1" applyFill="1" applyBorder="1" applyAlignment="1">
      <alignment vertical="center" wrapText="1"/>
    </xf>
    <xf numFmtId="0" fontId="3" fillId="3" borderId="32" xfId="0" applyFont="1" applyFill="1" applyBorder="1" applyAlignment="1">
      <alignment vertical="center" wrapText="1"/>
    </xf>
    <xf numFmtId="0" fontId="3" fillId="3" borderId="33" xfId="0" applyFont="1" applyFill="1" applyBorder="1" applyAlignment="1">
      <alignment vertical="center" wrapText="1"/>
    </xf>
    <xf numFmtId="0" fontId="3" fillId="3" borderId="34" xfId="0" applyFont="1" applyFill="1" applyBorder="1" applyAlignment="1">
      <alignment vertical="center" wrapText="1"/>
    </xf>
    <xf numFmtId="0" fontId="6" fillId="4" borderId="30" xfId="0" applyFont="1" applyFill="1" applyBorder="1" applyAlignment="1">
      <alignment vertical="center" wrapText="1"/>
    </xf>
    <xf numFmtId="0" fontId="6" fillId="4" borderId="29" xfId="0" applyFont="1" applyFill="1" applyBorder="1" applyAlignment="1">
      <alignment vertical="center" wrapText="1"/>
    </xf>
    <xf numFmtId="0" fontId="6" fillId="4" borderId="20" xfId="0" applyFont="1" applyFill="1" applyBorder="1" applyAlignment="1">
      <alignment vertical="center" wrapText="1"/>
    </xf>
    <xf numFmtId="0" fontId="6" fillId="4" borderId="4" xfId="0" applyFont="1" applyFill="1" applyBorder="1" applyAlignment="1">
      <alignment vertical="center" wrapText="1"/>
    </xf>
    <xf numFmtId="0" fontId="3" fillId="0" borderId="24" xfId="0" applyFont="1" applyBorder="1" applyAlignment="1">
      <alignment vertical="center" wrapText="1"/>
    </xf>
    <xf numFmtId="0" fontId="12" fillId="0" borderId="42" xfId="0" applyFont="1" applyBorder="1" applyAlignment="1">
      <alignment horizontal="center"/>
    </xf>
    <xf numFmtId="0" fontId="12" fillId="0" borderId="43" xfId="0" applyFont="1" applyBorder="1" applyAlignment="1">
      <alignment horizontal="center"/>
    </xf>
    <xf numFmtId="0" fontId="9" fillId="0" borderId="0" xfId="0" applyFont="1" applyAlignment="1">
      <alignment horizontal="right"/>
    </xf>
    <xf numFmtId="0" fontId="9" fillId="0" borderId="0" xfId="0" applyFont="1" applyAlignment="1">
      <alignment horizontal="left"/>
    </xf>
    <xf numFmtId="0" fontId="9" fillId="0" borderId="0" xfId="0" applyFont="1" applyAlignment="1">
      <alignment horizontal="center"/>
    </xf>
    <xf numFmtId="0" fontId="13" fillId="0" borderId="8" xfId="0" applyFont="1" applyBorder="1" applyAlignment="1">
      <alignment horizontal="center"/>
    </xf>
    <xf numFmtId="0" fontId="7" fillId="0" borderId="9" xfId="0" applyFont="1" applyBorder="1" applyAlignment="1">
      <alignment vertical="center" wrapText="1"/>
    </xf>
    <xf numFmtId="0" fontId="7" fillId="0" borderId="10" xfId="0" applyFont="1" applyBorder="1" applyAlignment="1">
      <alignment vertical="center" wrapText="1"/>
    </xf>
    <xf numFmtId="0" fontId="7" fillId="0" borderId="12" xfId="0" applyFont="1" applyBorder="1" applyAlignment="1">
      <alignment vertical="center" wrapText="1"/>
    </xf>
    <xf numFmtId="0" fontId="7" fillId="0" borderId="5" xfId="0" applyFont="1" applyBorder="1" applyAlignment="1">
      <alignment vertical="center" wrapText="1"/>
    </xf>
    <xf numFmtId="0" fontId="7" fillId="0" borderId="14" xfId="0" applyFont="1" applyBorder="1" applyAlignment="1">
      <alignment vertical="center" wrapText="1"/>
    </xf>
    <xf numFmtId="0" fontId="7" fillId="0" borderId="15" xfId="0" applyFont="1" applyBorder="1" applyAlignment="1">
      <alignment vertical="center" wrapText="1"/>
    </xf>
    <xf numFmtId="0" fontId="11" fillId="0" borderId="10" xfId="0" applyFont="1" applyBorder="1" applyAlignment="1">
      <alignment vertical="center" wrapText="1"/>
    </xf>
    <xf numFmtId="0" fontId="11" fillId="0" borderId="11" xfId="0" applyFont="1" applyBorder="1" applyAlignment="1">
      <alignment vertical="center" wrapText="1"/>
    </xf>
    <xf numFmtId="0" fontId="11" fillId="0" borderId="5" xfId="0" applyFont="1" applyBorder="1" applyAlignment="1">
      <alignment vertical="center" wrapText="1"/>
    </xf>
    <xf numFmtId="0" fontId="11" fillId="0" borderId="13" xfId="0" applyFont="1" applyBorder="1" applyAlignment="1">
      <alignment vertical="center" wrapText="1"/>
    </xf>
    <xf numFmtId="0" fontId="11" fillId="0" borderId="15" xfId="0" applyFont="1" applyBorder="1" applyAlignment="1">
      <alignment vertical="center" wrapText="1"/>
    </xf>
    <xf numFmtId="0" fontId="11" fillId="0" borderId="16" xfId="0" applyFont="1" applyBorder="1" applyAlignment="1">
      <alignment vertical="center" wrapText="1"/>
    </xf>
    <xf numFmtId="0" fontId="7" fillId="0" borderId="0" xfId="0" applyFont="1" applyAlignment="1">
      <alignment horizontal="center" vertical="center"/>
    </xf>
    <xf numFmtId="0" fontId="7" fillId="4" borderId="19" xfId="0" applyFont="1" applyFill="1" applyBorder="1" applyAlignment="1">
      <alignment vertical="center" wrapText="1"/>
    </xf>
    <xf numFmtId="0" fontId="7" fillId="4" borderId="20" xfId="0" applyFont="1" applyFill="1" applyBorder="1" applyAlignment="1">
      <alignment vertical="center" wrapText="1"/>
    </xf>
    <xf numFmtId="0" fontId="7" fillId="4" borderId="21" xfId="0" applyFont="1" applyFill="1" applyBorder="1" applyAlignment="1">
      <alignment vertical="center" wrapText="1"/>
    </xf>
    <xf numFmtId="0" fontId="8" fillId="4" borderId="30" xfId="0" applyFont="1" applyFill="1" applyBorder="1" applyAlignment="1">
      <alignment vertical="center" wrapText="1"/>
    </xf>
    <xf numFmtId="0" fontId="8" fillId="4" borderId="29" xfId="0" applyFont="1" applyFill="1" applyBorder="1" applyAlignment="1">
      <alignment vertical="center" wrapText="1"/>
    </xf>
    <xf numFmtId="0" fontId="8" fillId="4" borderId="4" xfId="0" applyFont="1" applyFill="1" applyBorder="1" applyAlignment="1">
      <alignment vertical="center" wrapText="1"/>
    </xf>
    <xf numFmtId="0" fontId="4" fillId="2" borderId="19" xfId="0" applyFont="1" applyFill="1" applyBorder="1" applyAlignment="1">
      <alignment vertical="center" wrapText="1"/>
    </xf>
    <xf numFmtId="0" fontId="4" fillId="2" borderId="20" xfId="0" applyFont="1" applyFill="1" applyBorder="1" applyAlignment="1">
      <alignment vertical="center" wrapText="1"/>
    </xf>
    <xf numFmtId="0" fontId="4" fillId="2" borderId="21" xfId="0" applyFont="1" applyFill="1" applyBorder="1" applyAlignment="1">
      <alignment vertical="center" wrapText="1"/>
    </xf>
    <xf numFmtId="0" fontId="3" fillId="3" borderId="14" xfId="0" applyFont="1" applyFill="1" applyBorder="1" applyAlignment="1">
      <alignment vertical="center" wrapText="1"/>
    </xf>
    <xf numFmtId="0" fontId="3" fillId="3" borderId="15" xfId="0" applyFont="1" applyFill="1" applyBorder="1" applyAlignment="1">
      <alignment vertical="center" wrapText="1"/>
    </xf>
    <xf numFmtId="0" fontId="3" fillId="3" borderId="16" xfId="0" applyFont="1" applyFill="1" applyBorder="1" applyAlignment="1">
      <alignment vertical="center" wrapText="1"/>
    </xf>
    <xf numFmtId="0" fontId="6" fillId="4" borderId="19" xfId="0" applyFont="1" applyFill="1" applyBorder="1" applyAlignment="1">
      <alignment vertical="center" wrapText="1"/>
    </xf>
    <xf numFmtId="0" fontId="6" fillId="4" borderId="21" xfId="0" applyFont="1" applyFill="1" applyBorder="1" applyAlignment="1">
      <alignment vertical="center" wrapText="1"/>
    </xf>
    <xf numFmtId="0" fontId="7" fillId="5" borderId="12" xfId="0" applyFont="1" applyFill="1" applyBorder="1" applyAlignment="1">
      <alignment vertical="center" wrapText="1"/>
    </xf>
    <xf numFmtId="0" fontId="7" fillId="5" borderId="5" xfId="0" applyFont="1" applyFill="1" applyBorder="1" applyAlignment="1">
      <alignment vertical="center" wrapText="1"/>
    </xf>
    <xf numFmtId="0" fontId="7" fillId="5" borderId="13" xfId="0" applyFont="1" applyFill="1" applyBorder="1" applyAlignment="1">
      <alignment vertical="center" wrapText="1"/>
    </xf>
    <xf numFmtId="0" fontId="7" fillId="5" borderId="24" xfId="0" applyFont="1" applyFill="1" applyBorder="1" applyAlignment="1">
      <alignment vertical="center" wrapText="1"/>
    </xf>
    <xf numFmtId="0" fontId="7" fillId="5" borderId="17" xfId="0" applyFont="1" applyFill="1" applyBorder="1" applyAlignment="1">
      <alignment vertical="center" wrapText="1"/>
    </xf>
    <xf numFmtId="0" fontId="7" fillId="5" borderId="27" xfId="0" applyFont="1" applyFill="1" applyBorder="1" applyAlignment="1">
      <alignment vertical="center" wrapText="1"/>
    </xf>
    <xf numFmtId="0" fontId="12" fillId="0" borderId="0" xfId="0" applyFont="1" applyAlignment="1">
      <alignment horizontal="center"/>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3B3C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8</xdr:col>
      <xdr:colOff>448533</xdr:colOff>
      <xdr:row>0</xdr:row>
      <xdr:rowOff>7327</xdr:rowOff>
    </xdr:from>
    <xdr:to>
      <xdr:col>11</xdr:col>
      <xdr:colOff>1592</xdr:colOff>
      <xdr:row>1</xdr:row>
      <xdr:rowOff>181788</xdr:rowOff>
    </xdr:to>
    <xdr:sp macro="" textlink="">
      <xdr:nvSpPr>
        <xdr:cNvPr id="3" name="Text Box 2">
          <a:extLst>
            <a:ext uri="{FF2B5EF4-FFF2-40B4-BE49-F238E27FC236}">
              <a16:creationId xmlns:a16="http://schemas.microsoft.com/office/drawing/2014/main" id="{6339E717-20F6-C6E0-4D1B-59A1422318A6}"/>
            </a:ext>
          </a:extLst>
        </xdr:cNvPr>
        <xdr:cNvSpPr txBox="1">
          <a:spLocks noChangeArrowheads="1"/>
        </xdr:cNvSpPr>
      </xdr:nvSpPr>
      <xdr:spPr bwMode="auto">
        <a:xfrm>
          <a:off x="5190549" y="7327"/>
          <a:ext cx="2103301" cy="358816"/>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spAutoFit/>
        </a:bodyPr>
        <a:lstStyle/>
        <a:p>
          <a:pPr marL="0" marR="0" indent="0">
            <a:lnSpc>
              <a:spcPct val="109000"/>
            </a:lnSpc>
            <a:spcBef>
              <a:spcPts val="0"/>
            </a:spcBef>
            <a:spcAft>
              <a:spcPts val="0"/>
            </a:spcAft>
          </a:pPr>
          <a:r>
            <a:rPr lang="en-US" sz="800" kern="100">
              <a:solidFill>
                <a:srgbClr val="000000"/>
              </a:solidFill>
              <a:effectLst/>
              <a:latin typeface="Calibri" panose="020F0502020204030204" pitchFamily="34" charset="0"/>
              <a:ea typeface="Times New Roman" panose="02020603050405020304" pitchFamily="18" charset="0"/>
            </a:rPr>
            <a:t>Trey</a:t>
          </a:r>
          <a:r>
            <a:rPr lang="en-US" sz="800" kern="100" baseline="0">
              <a:solidFill>
                <a:srgbClr val="000000"/>
              </a:solidFill>
              <a:effectLst/>
              <a:latin typeface="Calibri" panose="020F0502020204030204" pitchFamily="34" charset="0"/>
              <a:ea typeface="Times New Roman" panose="02020603050405020304" pitchFamily="18" charset="0"/>
            </a:rPr>
            <a:t> Franklin</a:t>
          </a:r>
          <a:r>
            <a:rPr lang="en-US" sz="800" kern="100">
              <a:solidFill>
                <a:srgbClr val="000000"/>
              </a:solidFill>
              <a:effectLst/>
              <a:latin typeface="Calibri" panose="020F0502020204030204" pitchFamily="34" charset="0"/>
              <a:ea typeface="Times New Roman" panose="02020603050405020304" pitchFamily="18" charset="0"/>
            </a:rPr>
            <a:t>: 512-688-7655</a:t>
          </a:r>
          <a:endParaRPr lang="en-US" sz="800" kern="100">
            <a:solidFill>
              <a:srgbClr val="000000"/>
            </a:solidFill>
            <a:effectLst/>
            <a:latin typeface="Times New Roman" panose="02020603050405020304" pitchFamily="18" charset="0"/>
            <a:ea typeface="Times New Roman" panose="02020603050405020304" pitchFamily="18" charset="0"/>
          </a:endParaRPr>
        </a:p>
        <a:p>
          <a:pPr marL="0" marR="0" indent="0">
            <a:lnSpc>
              <a:spcPct val="109000"/>
            </a:lnSpc>
            <a:spcBef>
              <a:spcPts val="0"/>
            </a:spcBef>
            <a:spcAft>
              <a:spcPts val="0"/>
            </a:spcAft>
          </a:pPr>
          <a:r>
            <a:rPr lang="en-US" sz="800" kern="100">
              <a:solidFill>
                <a:srgbClr val="000000"/>
              </a:solidFill>
              <a:effectLst/>
              <a:latin typeface="Calibri" panose="020F0502020204030204" pitchFamily="34" charset="0"/>
              <a:ea typeface="Times New Roman" panose="02020603050405020304" pitchFamily="18" charset="0"/>
            </a:rPr>
            <a:t>Emergency Response: </a:t>
          </a:r>
          <a:r>
            <a:rPr lang="en-US" sz="800" u="sng" kern="100">
              <a:solidFill>
                <a:srgbClr val="3B3C88"/>
              </a:solidFill>
              <a:effectLst/>
              <a:latin typeface="Calibri" panose="020F0502020204030204" pitchFamily="34" charset="0"/>
              <a:ea typeface="Times New Roman" panose="02020603050405020304" pitchFamily="18" charset="0"/>
            </a:rPr>
            <a:t>ER@BioRemedy.com</a:t>
          </a:r>
          <a:r>
            <a:rPr lang="en-US" sz="800" kern="100">
              <a:solidFill>
                <a:srgbClr val="3B3C88"/>
              </a:solidFill>
              <a:effectLst/>
              <a:latin typeface="Times New Roman" panose="02020603050405020304" pitchFamily="18" charset="0"/>
              <a:ea typeface="Times New Roman" panose="02020603050405020304" pitchFamily="18" charset="0"/>
            </a:rPr>
            <a:t> </a:t>
          </a:r>
          <a:endParaRPr lang="en-US" sz="800" kern="100">
            <a:solidFill>
              <a:srgbClr val="000000"/>
            </a:solidFill>
            <a:effectLst/>
            <a:latin typeface="Times New Roman" panose="02020603050405020304" pitchFamily="18" charset="0"/>
            <a:ea typeface="Times New Roman" panose="02020603050405020304" pitchFamily="18" charset="0"/>
          </a:endParaRPr>
        </a:p>
      </xdr:txBody>
    </xdr:sp>
    <xdr:clientData/>
  </xdr:twoCellAnchor>
  <xdr:twoCellAnchor>
    <xdr:from>
      <xdr:col>0</xdr:col>
      <xdr:colOff>63396</xdr:colOff>
      <xdr:row>0</xdr:row>
      <xdr:rowOff>39503</xdr:rowOff>
    </xdr:from>
    <xdr:to>
      <xdr:col>3</xdr:col>
      <xdr:colOff>41415</xdr:colOff>
      <xdr:row>1</xdr:row>
      <xdr:rowOff>207819</xdr:rowOff>
    </xdr:to>
    <xdr:sp macro="" textlink="">
      <xdr:nvSpPr>
        <xdr:cNvPr id="4" name="Text Box 2">
          <a:extLst>
            <a:ext uri="{FF2B5EF4-FFF2-40B4-BE49-F238E27FC236}">
              <a16:creationId xmlns:a16="http://schemas.microsoft.com/office/drawing/2014/main" id="{3119074A-883A-0501-8DFE-8BC0930A17FB}"/>
            </a:ext>
          </a:extLst>
        </xdr:cNvPr>
        <xdr:cNvSpPr txBox="1">
          <a:spLocks noChangeArrowheads="1"/>
        </xdr:cNvSpPr>
      </xdr:nvSpPr>
      <xdr:spPr bwMode="auto">
        <a:xfrm>
          <a:off x="63396" y="39503"/>
          <a:ext cx="2040389" cy="358816"/>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spAutoFit/>
        </a:bodyPr>
        <a:lstStyle/>
        <a:p>
          <a:pPr marL="0" marR="0" indent="0">
            <a:lnSpc>
              <a:spcPct val="109000"/>
            </a:lnSpc>
            <a:spcBef>
              <a:spcPts val="0"/>
            </a:spcBef>
            <a:spcAft>
              <a:spcPts val="0"/>
            </a:spcAft>
          </a:pPr>
          <a:r>
            <a:rPr lang="en-US" sz="800" kern="100">
              <a:solidFill>
                <a:srgbClr val="000000"/>
              </a:solidFill>
              <a:effectLst/>
              <a:latin typeface="Calibri" panose="020F0502020204030204" pitchFamily="34" charset="0"/>
              <a:ea typeface="Times New Roman" panose="02020603050405020304" pitchFamily="18" charset="0"/>
            </a:rPr>
            <a:t>Stefani Alvarez</a:t>
          </a:r>
          <a:endParaRPr lang="en-US" sz="800" kern="100">
            <a:solidFill>
              <a:srgbClr val="000000"/>
            </a:solidFill>
            <a:effectLst/>
            <a:latin typeface="Times New Roman" panose="02020603050405020304" pitchFamily="18" charset="0"/>
            <a:ea typeface="Times New Roman" panose="02020603050405020304" pitchFamily="18" charset="0"/>
          </a:endParaRPr>
        </a:p>
        <a:p>
          <a:pPr marL="0" marR="0" indent="0">
            <a:lnSpc>
              <a:spcPct val="109000"/>
            </a:lnSpc>
            <a:spcBef>
              <a:spcPts val="0"/>
            </a:spcBef>
            <a:spcAft>
              <a:spcPts val="0"/>
            </a:spcAft>
          </a:pPr>
          <a:r>
            <a:rPr lang="en-US" sz="800" kern="100">
              <a:solidFill>
                <a:srgbClr val="000000"/>
              </a:solidFill>
              <a:effectLst/>
              <a:latin typeface="Calibri" panose="020F0502020204030204" pitchFamily="34" charset="0"/>
              <a:ea typeface="Times New Roman" panose="02020603050405020304" pitchFamily="18" charset="0"/>
            </a:rPr>
            <a:t>Accounts Payable: </a:t>
          </a:r>
          <a:r>
            <a:rPr lang="en-US" sz="800" u="sng" kern="100">
              <a:solidFill>
                <a:srgbClr val="3B3C88"/>
              </a:solidFill>
              <a:effectLst/>
              <a:latin typeface="Calibri" panose="020F0502020204030204" pitchFamily="34" charset="0"/>
              <a:ea typeface="Times New Roman" panose="02020603050405020304" pitchFamily="18" charset="0"/>
            </a:rPr>
            <a:t>AP@BioRemedy.com</a:t>
          </a:r>
          <a:endParaRPr lang="en-US" sz="800" kern="100">
            <a:solidFill>
              <a:srgbClr val="000000"/>
            </a:solidFill>
            <a:effectLst/>
            <a:latin typeface="Times New Roman" panose="02020603050405020304" pitchFamily="18" charset="0"/>
            <a:ea typeface="Times New Roman" panose="02020603050405020304" pitchFamily="18" charset="0"/>
          </a:endParaRPr>
        </a:p>
      </xdr:txBody>
    </xdr:sp>
    <xdr:clientData/>
  </xdr:twoCellAnchor>
  <xdr:twoCellAnchor editAs="oneCell">
    <xdr:from>
      <xdr:col>3</xdr:col>
      <xdr:colOff>491612</xdr:colOff>
      <xdr:row>0</xdr:row>
      <xdr:rowOff>0</xdr:rowOff>
    </xdr:from>
    <xdr:to>
      <xdr:col>7</xdr:col>
      <xdr:colOff>626837</xdr:colOff>
      <xdr:row>2</xdr:row>
      <xdr:rowOff>74213</xdr:rowOff>
    </xdr:to>
    <xdr:pic>
      <xdr:nvPicPr>
        <xdr:cNvPr id="5" name="Picture 4">
          <a:extLst>
            <a:ext uri="{FF2B5EF4-FFF2-40B4-BE49-F238E27FC236}">
              <a16:creationId xmlns:a16="http://schemas.microsoft.com/office/drawing/2014/main" id="{020BEC5E-56A1-C4E0-6523-B287A5687F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473427" y="0"/>
          <a:ext cx="1974901" cy="5811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448533</xdr:colOff>
      <xdr:row>0</xdr:row>
      <xdr:rowOff>7327</xdr:rowOff>
    </xdr:from>
    <xdr:to>
      <xdr:col>11</xdr:col>
      <xdr:colOff>1592</xdr:colOff>
      <xdr:row>1</xdr:row>
      <xdr:rowOff>175643</xdr:rowOff>
    </xdr:to>
    <xdr:sp macro="" textlink="">
      <xdr:nvSpPr>
        <xdr:cNvPr id="2" name="Text Box 2">
          <a:extLst>
            <a:ext uri="{FF2B5EF4-FFF2-40B4-BE49-F238E27FC236}">
              <a16:creationId xmlns:a16="http://schemas.microsoft.com/office/drawing/2014/main" id="{8A2E09B5-046D-4B56-ACDB-AF7CE781046E}"/>
            </a:ext>
          </a:extLst>
        </xdr:cNvPr>
        <xdr:cNvSpPr txBox="1">
          <a:spLocks noChangeArrowheads="1"/>
        </xdr:cNvSpPr>
      </xdr:nvSpPr>
      <xdr:spPr bwMode="auto">
        <a:xfrm>
          <a:off x="4953858" y="7327"/>
          <a:ext cx="1991459" cy="358816"/>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spAutoFit/>
        </a:bodyPr>
        <a:lstStyle/>
        <a:p>
          <a:pPr marL="0" marR="0" indent="0">
            <a:lnSpc>
              <a:spcPct val="109000"/>
            </a:lnSpc>
            <a:spcBef>
              <a:spcPts val="0"/>
            </a:spcBef>
            <a:spcAft>
              <a:spcPts val="0"/>
            </a:spcAft>
          </a:pPr>
          <a:r>
            <a:rPr lang="en-US" sz="800" kern="100">
              <a:solidFill>
                <a:srgbClr val="000000"/>
              </a:solidFill>
              <a:effectLst/>
              <a:latin typeface="Calibri" panose="020F0502020204030204" pitchFamily="34" charset="0"/>
              <a:ea typeface="Times New Roman" panose="02020603050405020304" pitchFamily="18" charset="0"/>
            </a:rPr>
            <a:t>Braden Gilbert : 254-258-2925</a:t>
          </a:r>
          <a:endParaRPr lang="en-US" sz="800" kern="100">
            <a:solidFill>
              <a:srgbClr val="000000"/>
            </a:solidFill>
            <a:effectLst/>
            <a:latin typeface="Times New Roman" panose="02020603050405020304" pitchFamily="18" charset="0"/>
            <a:ea typeface="Times New Roman" panose="02020603050405020304" pitchFamily="18" charset="0"/>
          </a:endParaRPr>
        </a:p>
        <a:p>
          <a:pPr marL="0" marR="0" indent="0">
            <a:lnSpc>
              <a:spcPct val="109000"/>
            </a:lnSpc>
            <a:spcBef>
              <a:spcPts val="0"/>
            </a:spcBef>
            <a:spcAft>
              <a:spcPts val="0"/>
            </a:spcAft>
          </a:pPr>
          <a:r>
            <a:rPr lang="en-US" sz="800" kern="100">
              <a:solidFill>
                <a:srgbClr val="000000"/>
              </a:solidFill>
              <a:effectLst/>
              <a:latin typeface="Calibri" panose="020F0502020204030204" pitchFamily="34" charset="0"/>
              <a:ea typeface="Times New Roman" panose="02020603050405020304" pitchFamily="18" charset="0"/>
            </a:rPr>
            <a:t>Emergency Response: </a:t>
          </a:r>
          <a:r>
            <a:rPr lang="en-US" sz="800" u="sng" kern="100">
              <a:solidFill>
                <a:srgbClr val="3B3C88"/>
              </a:solidFill>
              <a:effectLst/>
              <a:latin typeface="Calibri" panose="020F0502020204030204" pitchFamily="34" charset="0"/>
              <a:ea typeface="Times New Roman" panose="02020603050405020304" pitchFamily="18" charset="0"/>
            </a:rPr>
            <a:t>ER@BioRemedy.com</a:t>
          </a:r>
          <a:r>
            <a:rPr lang="en-US" sz="800" kern="100">
              <a:solidFill>
                <a:srgbClr val="3B3C88"/>
              </a:solidFill>
              <a:effectLst/>
              <a:latin typeface="Times New Roman" panose="02020603050405020304" pitchFamily="18" charset="0"/>
              <a:ea typeface="Times New Roman" panose="02020603050405020304" pitchFamily="18" charset="0"/>
            </a:rPr>
            <a:t> </a:t>
          </a:r>
          <a:endParaRPr lang="en-US" sz="800" kern="100">
            <a:solidFill>
              <a:srgbClr val="000000"/>
            </a:solidFill>
            <a:effectLst/>
            <a:latin typeface="Times New Roman" panose="02020603050405020304" pitchFamily="18" charset="0"/>
            <a:ea typeface="Times New Roman" panose="02020603050405020304" pitchFamily="18" charset="0"/>
          </a:endParaRPr>
        </a:p>
      </xdr:txBody>
    </xdr:sp>
    <xdr:clientData/>
  </xdr:twoCellAnchor>
  <xdr:twoCellAnchor>
    <xdr:from>
      <xdr:col>0</xdr:col>
      <xdr:colOff>63396</xdr:colOff>
      <xdr:row>0</xdr:row>
      <xdr:rowOff>39503</xdr:rowOff>
    </xdr:from>
    <xdr:to>
      <xdr:col>3</xdr:col>
      <xdr:colOff>41415</xdr:colOff>
      <xdr:row>1</xdr:row>
      <xdr:rowOff>207819</xdr:rowOff>
    </xdr:to>
    <xdr:sp macro="" textlink="">
      <xdr:nvSpPr>
        <xdr:cNvPr id="3" name="Text Box 2">
          <a:extLst>
            <a:ext uri="{FF2B5EF4-FFF2-40B4-BE49-F238E27FC236}">
              <a16:creationId xmlns:a16="http://schemas.microsoft.com/office/drawing/2014/main" id="{A3B75B00-C94A-4BDC-B3FC-568A0411E808}"/>
            </a:ext>
          </a:extLst>
        </xdr:cNvPr>
        <xdr:cNvSpPr txBox="1">
          <a:spLocks noChangeArrowheads="1"/>
        </xdr:cNvSpPr>
      </xdr:nvSpPr>
      <xdr:spPr bwMode="auto">
        <a:xfrm>
          <a:off x="63396" y="39503"/>
          <a:ext cx="1902069" cy="358816"/>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spAutoFit/>
        </a:bodyPr>
        <a:lstStyle/>
        <a:p>
          <a:pPr marL="0" marR="0" indent="0">
            <a:lnSpc>
              <a:spcPct val="109000"/>
            </a:lnSpc>
            <a:spcBef>
              <a:spcPts val="0"/>
            </a:spcBef>
            <a:spcAft>
              <a:spcPts val="0"/>
            </a:spcAft>
          </a:pPr>
          <a:r>
            <a:rPr lang="en-US" sz="800" kern="100">
              <a:solidFill>
                <a:srgbClr val="000000"/>
              </a:solidFill>
              <a:effectLst/>
              <a:latin typeface="Calibri" panose="020F0502020204030204" pitchFamily="34" charset="0"/>
              <a:ea typeface="Times New Roman" panose="02020603050405020304" pitchFamily="18" charset="0"/>
            </a:rPr>
            <a:t>Stefani Alvarez</a:t>
          </a:r>
          <a:endParaRPr lang="en-US" sz="800" kern="100">
            <a:solidFill>
              <a:srgbClr val="000000"/>
            </a:solidFill>
            <a:effectLst/>
            <a:latin typeface="Times New Roman" panose="02020603050405020304" pitchFamily="18" charset="0"/>
            <a:ea typeface="Times New Roman" panose="02020603050405020304" pitchFamily="18" charset="0"/>
          </a:endParaRPr>
        </a:p>
        <a:p>
          <a:pPr marL="0" marR="0" indent="0">
            <a:lnSpc>
              <a:spcPct val="109000"/>
            </a:lnSpc>
            <a:spcBef>
              <a:spcPts val="0"/>
            </a:spcBef>
            <a:spcAft>
              <a:spcPts val="0"/>
            </a:spcAft>
          </a:pPr>
          <a:r>
            <a:rPr lang="en-US" sz="800" kern="100">
              <a:solidFill>
                <a:srgbClr val="000000"/>
              </a:solidFill>
              <a:effectLst/>
              <a:latin typeface="Calibri" panose="020F0502020204030204" pitchFamily="34" charset="0"/>
              <a:ea typeface="Times New Roman" panose="02020603050405020304" pitchFamily="18" charset="0"/>
            </a:rPr>
            <a:t>Accounts Payable: </a:t>
          </a:r>
          <a:r>
            <a:rPr lang="en-US" sz="800" u="sng" kern="100">
              <a:solidFill>
                <a:srgbClr val="3B3C88"/>
              </a:solidFill>
              <a:effectLst/>
              <a:latin typeface="Calibri" panose="020F0502020204030204" pitchFamily="34" charset="0"/>
              <a:ea typeface="Times New Roman" panose="02020603050405020304" pitchFamily="18" charset="0"/>
            </a:rPr>
            <a:t>AP@BioRemedy.com</a:t>
          </a:r>
          <a:endParaRPr lang="en-US" sz="800" kern="100">
            <a:solidFill>
              <a:srgbClr val="000000"/>
            </a:solidFill>
            <a:effectLst/>
            <a:latin typeface="Times New Roman" panose="02020603050405020304" pitchFamily="18" charset="0"/>
            <a:ea typeface="Times New Roman" panose="02020603050405020304" pitchFamily="18" charset="0"/>
          </a:endParaRPr>
        </a:p>
      </xdr:txBody>
    </xdr:sp>
    <xdr:clientData/>
  </xdr:twoCellAnchor>
  <xdr:twoCellAnchor editAs="oneCell">
    <xdr:from>
      <xdr:col>3</xdr:col>
      <xdr:colOff>549519</xdr:colOff>
      <xdr:row>0</xdr:row>
      <xdr:rowOff>14651</xdr:rowOff>
    </xdr:from>
    <xdr:to>
      <xdr:col>8</xdr:col>
      <xdr:colOff>26816</xdr:colOff>
      <xdr:row>2</xdr:row>
      <xdr:rowOff>139941</xdr:rowOff>
    </xdr:to>
    <xdr:pic>
      <xdr:nvPicPr>
        <xdr:cNvPr id="4" name="Picture 3" descr="A blue and black logo&#10;&#10;Description automatically generated">
          <a:extLst>
            <a:ext uri="{FF2B5EF4-FFF2-40B4-BE49-F238E27FC236}">
              <a16:creationId xmlns:a16="http://schemas.microsoft.com/office/drawing/2014/main" id="{A613A301-F527-4FDA-955D-1476FB22C2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3569" y="14651"/>
          <a:ext cx="2058572" cy="5062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CA13C-1C93-4D9F-9AFE-560450BF1407}">
  <dimension ref="A1:N314"/>
  <sheetViews>
    <sheetView tabSelected="1" showWhiteSpace="0" zoomScale="124" zoomScaleNormal="190" zoomScaleSheetLayoutView="115" zoomScalePageLayoutView="115" workbookViewId="0">
      <selection activeCell="L36" sqref="L36"/>
    </sheetView>
  </sheetViews>
  <sheetFormatPr defaultRowHeight="14.4" x14ac:dyDescent="0.3"/>
  <cols>
    <col min="1" max="1" width="10.5546875" customWidth="1"/>
    <col min="2" max="4" width="9.33203125" customWidth="1"/>
    <col min="5" max="5" width="8.6640625" customWidth="1"/>
    <col min="6" max="6" width="5.5546875" customWidth="1"/>
    <col min="7" max="7" width="3.33203125" customWidth="1"/>
    <col min="8" max="8" width="12" customWidth="1"/>
    <col min="9" max="9" width="12.6640625" customWidth="1"/>
    <col min="10" max="10" width="12" customWidth="1"/>
    <col min="11" max="11" width="11.6640625" customWidth="1"/>
    <col min="12" max="12" width="1.6640625" customWidth="1"/>
    <col min="14" max="14" width="9.33203125" customWidth="1"/>
  </cols>
  <sheetData>
    <row r="1" spans="1:13" x14ac:dyDescent="0.3">
      <c r="A1" s="92"/>
      <c r="B1" s="92"/>
      <c r="C1" s="92"/>
      <c r="D1" s="93"/>
      <c r="E1" s="93"/>
      <c r="F1" s="93"/>
      <c r="G1" s="93"/>
      <c r="H1" s="93"/>
      <c r="I1" s="91"/>
      <c r="J1" s="91"/>
      <c r="K1" s="91"/>
    </row>
    <row r="2" spans="1:13" ht="25.5" customHeight="1" x14ac:dyDescent="0.3"/>
    <row r="3" spans="1:13" ht="20.25" customHeight="1" thickBot="1" x14ac:dyDescent="0.35">
      <c r="A3" s="107" t="s">
        <v>0</v>
      </c>
      <c r="B3" s="107"/>
      <c r="C3" s="107"/>
      <c r="D3" s="107"/>
      <c r="E3" s="107"/>
      <c r="F3" s="107"/>
      <c r="G3" s="107"/>
      <c r="H3" s="107"/>
      <c r="I3" s="107"/>
      <c r="J3" s="107"/>
      <c r="K3" s="107"/>
    </row>
    <row r="4" spans="1:13" ht="15.75" customHeight="1" x14ac:dyDescent="0.3">
      <c r="A4" s="95" t="s">
        <v>1</v>
      </c>
      <c r="B4" s="96"/>
      <c r="C4" s="101" t="s">
        <v>2</v>
      </c>
      <c r="D4" s="101"/>
      <c r="E4" s="101"/>
      <c r="F4" s="101"/>
      <c r="G4" s="101"/>
      <c r="H4" s="101"/>
      <c r="I4" s="101"/>
      <c r="J4" s="101"/>
      <c r="K4" s="102"/>
      <c r="M4" s="16"/>
    </row>
    <row r="5" spans="1:13" ht="15.75" customHeight="1" x14ac:dyDescent="0.3">
      <c r="A5" s="97" t="s">
        <v>3</v>
      </c>
      <c r="B5" s="98"/>
      <c r="C5" s="103" t="s">
        <v>354</v>
      </c>
      <c r="D5" s="103"/>
      <c r="E5" s="103"/>
      <c r="F5" s="103"/>
      <c r="G5" s="103"/>
      <c r="H5" s="103"/>
      <c r="I5" s="103"/>
      <c r="J5" s="103"/>
      <c r="K5" s="104"/>
    </row>
    <row r="6" spans="1:13" x14ac:dyDescent="0.3">
      <c r="A6" s="97" t="s">
        <v>5</v>
      </c>
      <c r="B6" s="98"/>
      <c r="C6" s="103" t="s">
        <v>6</v>
      </c>
      <c r="D6" s="103"/>
      <c r="E6" s="103"/>
      <c r="F6" s="103"/>
      <c r="G6" s="103"/>
      <c r="H6" s="103"/>
      <c r="I6" s="103"/>
      <c r="J6" s="103"/>
      <c r="K6" s="104"/>
    </row>
    <row r="7" spans="1:13" ht="15" thickBot="1" x14ac:dyDescent="0.35">
      <c r="A7" s="99" t="s">
        <v>7</v>
      </c>
      <c r="B7" s="100"/>
      <c r="C7" s="105" t="s">
        <v>8</v>
      </c>
      <c r="D7" s="105"/>
      <c r="E7" s="105"/>
      <c r="F7" s="105"/>
      <c r="G7" s="105"/>
      <c r="H7" s="105"/>
      <c r="I7" s="105"/>
      <c r="J7" s="105"/>
      <c r="K7" s="106"/>
    </row>
    <row r="8" spans="1:13" x14ac:dyDescent="0.3">
      <c r="A8" s="94" t="s">
        <v>370</v>
      </c>
      <c r="B8" s="94"/>
      <c r="C8" s="94"/>
      <c r="D8" s="94"/>
      <c r="E8" s="94"/>
      <c r="F8" s="94"/>
      <c r="G8" s="94"/>
      <c r="H8" s="94"/>
      <c r="I8" s="94"/>
      <c r="J8" s="94"/>
      <c r="K8" s="94"/>
      <c r="L8" s="20"/>
    </row>
    <row r="9" spans="1:13" x14ac:dyDescent="0.3">
      <c r="B9" s="35" t="s">
        <v>369</v>
      </c>
      <c r="C9" s="35"/>
      <c r="D9" s="35"/>
      <c r="E9" s="35"/>
      <c r="F9" s="35"/>
      <c r="G9" s="35"/>
      <c r="H9" s="35"/>
      <c r="I9" s="35"/>
      <c r="J9" s="35"/>
      <c r="L9" s="20"/>
    </row>
    <row r="10" spans="1:13" ht="15" thickBot="1" x14ac:dyDescent="0.35">
      <c r="A10" s="89" t="s">
        <v>10</v>
      </c>
      <c r="B10" s="89"/>
      <c r="C10" s="89"/>
      <c r="D10" s="89"/>
      <c r="E10" s="89"/>
      <c r="F10" s="89"/>
      <c r="G10" s="89"/>
      <c r="H10" s="89"/>
      <c r="I10" s="89"/>
      <c r="J10" s="89"/>
      <c r="K10" s="90"/>
    </row>
    <row r="11" spans="1:13" ht="28.2" thickBot="1" x14ac:dyDescent="0.35">
      <c r="A11" s="75" t="s">
        <v>11</v>
      </c>
      <c r="B11" s="76"/>
      <c r="C11" s="76"/>
      <c r="D11" s="76"/>
      <c r="E11" s="76"/>
      <c r="F11" s="76"/>
      <c r="G11" s="77"/>
      <c r="H11" s="21" t="s">
        <v>12</v>
      </c>
      <c r="I11" s="22" t="s">
        <v>13</v>
      </c>
      <c r="J11" s="22" t="s">
        <v>14</v>
      </c>
      <c r="K11" s="23" t="s">
        <v>15</v>
      </c>
    </row>
    <row r="12" spans="1:13" x14ac:dyDescent="0.3">
      <c r="A12" s="78" t="s">
        <v>16</v>
      </c>
      <c r="B12" s="79"/>
      <c r="C12" s="79"/>
      <c r="D12" s="79"/>
      <c r="E12" s="79"/>
      <c r="F12" s="79"/>
      <c r="G12" s="80"/>
      <c r="H12" s="8">
        <v>35</v>
      </c>
      <c r="I12" s="8">
        <v>35</v>
      </c>
      <c r="J12" s="8">
        <v>35</v>
      </c>
      <c r="K12" s="4" t="s">
        <v>17</v>
      </c>
    </row>
    <row r="13" spans="1:13" x14ac:dyDescent="0.3">
      <c r="A13" s="30" t="s">
        <v>18</v>
      </c>
      <c r="B13" s="31"/>
      <c r="C13" s="31"/>
      <c r="D13" s="31"/>
      <c r="E13" s="31"/>
      <c r="F13" s="31"/>
      <c r="G13" s="32"/>
      <c r="H13" s="8">
        <v>70</v>
      </c>
      <c r="I13" s="8">
        <f>IF(ISNUMBER(Sheet5!I13),IFERROR(H13*1.5,Sheet5!I13),Sheet5!I13)</f>
        <v>105</v>
      </c>
      <c r="J13" s="8">
        <f t="shared" ref="J13:J23" si="0">H13*2</f>
        <v>140</v>
      </c>
      <c r="K13" s="2" t="s">
        <v>17</v>
      </c>
    </row>
    <row r="14" spans="1:13" x14ac:dyDescent="0.3">
      <c r="A14" s="30" t="s">
        <v>20</v>
      </c>
      <c r="B14" s="31"/>
      <c r="C14" s="31"/>
      <c r="D14" s="31"/>
      <c r="E14" s="31"/>
      <c r="F14" s="31"/>
      <c r="G14" s="32"/>
      <c r="H14" s="8">
        <v>119</v>
      </c>
      <c r="I14" s="8">
        <f>IF(ISNUMBER(Sheet5!I15),IFERROR(H14*1.5,Sheet5!I15),Sheet5!I15)</f>
        <v>178.5</v>
      </c>
      <c r="J14" s="8">
        <f t="shared" si="0"/>
        <v>238</v>
      </c>
      <c r="K14" s="2" t="s">
        <v>17</v>
      </c>
    </row>
    <row r="15" spans="1:13" x14ac:dyDescent="0.3">
      <c r="A15" s="30" t="s">
        <v>21</v>
      </c>
      <c r="B15" s="31"/>
      <c r="C15" s="31"/>
      <c r="D15" s="31"/>
      <c r="E15" s="31"/>
      <c r="F15" s="31"/>
      <c r="G15" s="32"/>
      <c r="H15" s="8">
        <v>103</v>
      </c>
      <c r="I15" s="8">
        <f>IF(ISNUMBER(Sheet5!I16),IFERROR(H15*1.5,Sheet5!I16),Sheet5!I16)</f>
        <v>154.5</v>
      </c>
      <c r="J15" s="8">
        <f t="shared" si="0"/>
        <v>206</v>
      </c>
      <c r="K15" s="2" t="s">
        <v>17</v>
      </c>
    </row>
    <row r="16" spans="1:13" x14ac:dyDescent="0.3">
      <c r="A16" s="30" t="s">
        <v>22</v>
      </c>
      <c r="B16" s="31"/>
      <c r="C16" s="31"/>
      <c r="D16" s="31"/>
      <c r="E16" s="31"/>
      <c r="F16" s="31"/>
      <c r="G16" s="32"/>
      <c r="H16" s="8">
        <v>92</v>
      </c>
      <c r="I16" s="8">
        <f>IF(ISNUMBER(Sheet5!I17),IFERROR(H16*1.5,Sheet5!I17),Sheet5!I17)</f>
        <v>138</v>
      </c>
      <c r="J16" s="8">
        <f t="shared" si="0"/>
        <v>184</v>
      </c>
      <c r="K16" s="2" t="s">
        <v>17</v>
      </c>
    </row>
    <row r="17" spans="1:11" x14ac:dyDescent="0.3">
      <c r="A17" s="30" t="s">
        <v>23</v>
      </c>
      <c r="B17" s="31"/>
      <c r="C17" s="31"/>
      <c r="D17" s="31"/>
      <c r="E17" s="31"/>
      <c r="F17" s="31"/>
      <c r="G17" s="32"/>
      <c r="H17" s="8">
        <v>85</v>
      </c>
      <c r="I17" s="8">
        <f>IF(ISNUMBER(Sheet5!I18),IFERROR(H17*1.5,Sheet5!I18),Sheet5!I18)</f>
        <v>127.5</v>
      </c>
      <c r="J17" s="8">
        <f t="shared" si="0"/>
        <v>170</v>
      </c>
      <c r="K17" s="2" t="s">
        <v>17</v>
      </c>
    </row>
    <row r="18" spans="1:11" x14ac:dyDescent="0.3">
      <c r="A18" s="30" t="s">
        <v>24</v>
      </c>
      <c r="B18" s="31"/>
      <c r="C18" s="31"/>
      <c r="D18" s="31"/>
      <c r="E18" s="31"/>
      <c r="F18" s="31"/>
      <c r="G18" s="32"/>
      <c r="H18" s="8">
        <v>75</v>
      </c>
      <c r="I18" s="8">
        <f>IF(ISNUMBER(Sheet5!I19),IFERROR(H18*1.5,Sheet5!I19),Sheet5!I19)</f>
        <v>112.5</v>
      </c>
      <c r="J18" s="8">
        <f t="shared" si="0"/>
        <v>150</v>
      </c>
      <c r="K18" s="2" t="s">
        <v>17</v>
      </c>
    </row>
    <row r="19" spans="1:11" x14ac:dyDescent="0.3">
      <c r="A19" s="30" t="s">
        <v>25</v>
      </c>
      <c r="B19" s="31"/>
      <c r="C19" s="31"/>
      <c r="D19" s="31"/>
      <c r="E19" s="31"/>
      <c r="F19" s="31"/>
      <c r="G19" s="32"/>
      <c r="H19" s="8">
        <v>65</v>
      </c>
      <c r="I19" s="8">
        <f>IF(ISNUMBER(Sheet5!I20),IFERROR(H19*1.5,Sheet5!I20),Sheet5!I20)</f>
        <v>97.5</v>
      </c>
      <c r="J19" s="8">
        <f t="shared" si="0"/>
        <v>130</v>
      </c>
      <c r="K19" s="2" t="s">
        <v>17</v>
      </c>
    </row>
    <row r="20" spans="1:11" x14ac:dyDescent="0.3">
      <c r="A20" s="30" t="s">
        <v>26</v>
      </c>
      <c r="B20" s="31"/>
      <c r="C20" s="31"/>
      <c r="D20" s="31"/>
      <c r="E20" s="31"/>
      <c r="F20" s="31"/>
      <c r="G20" s="32"/>
      <c r="H20" s="8">
        <v>83</v>
      </c>
      <c r="I20" s="8">
        <f>IF(ISNUMBER(Sheet5!I21),IFERROR(H20*1.5,Sheet5!I21),Sheet5!I21)</f>
        <v>124.5</v>
      </c>
      <c r="J20" s="8">
        <f t="shared" si="0"/>
        <v>166</v>
      </c>
      <c r="K20" s="2" t="s">
        <v>17</v>
      </c>
    </row>
    <row r="21" spans="1:11" x14ac:dyDescent="0.3">
      <c r="A21" s="30" t="s">
        <v>27</v>
      </c>
      <c r="B21" s="31"/>
      <c r="C21" s="31"/>
      <c r="D21" s="31"/>
      <c r="E21" s="31"/>
      <c r="F21" s="31"/>
      <c r="G21" s="32"/>
      <c r="H21" s="8">
        <v>75</v>
      </c>
      <c r="I21" s="8">
        <f>IF(ISNUMBER(Sheet5!I22),IFERROR(H21*1.5,Sheet5!I22),Sheet5!I22)</f>
        <v>112.5</v>
      </c>
      <c r="J21" s="8">
        <f t="shared" si="0"/>
        <v>150</v>
      </c>
      <c r="K21" s="2" t="s">
        <v>17</v>
      </c>
    </row>
    <row r="22" spans="1:11" x14ac:dyDescent="0.3">
      <c r="A22" s="30" t="s">
        <v>28</v>
      </c>
      <c r="B22" s="31"/>
      <c r="C22" s="31"/>
      <c r="D22" s="31"/>
      <c r="E22" s="31"/>
      <c r="F22" s="31"/>
      <c r="G22" s="32"/>
      <c r="H22" s="8">
        <v>65</v>
      </c>
      <c r="I22" s="8">
        <f>IF(ISNUMBER(Sheet5!I23),IFERROR(H22*1.5,Sheet5!I23),Sheet5!I23)</f>
        <v>97.5</v>
      </c>
      <c r="J22" s="8">
        <f t="shared" si="0"/>
        <v>130</v>
      </c>
      <c r="K22" s="2" t="s">
        <v>17</v>
      </c>
    </row>
    <row r="23" spans="1:11" x14ac:dyDescent="0.3">
      <c r="A23" s="30" t="s">
        <v>29</v>
      </c>
      <c r="B23" s="31"/>
      <c r="C23" s="31"/>
      <c r="D23" s="31"/>
      <c r="E23" s="31"/>
      <c r="F23" s="31"/>
      <c r="G23" s="32"/>
      <c r="H23" s="8">
        <v>70</v>
      </c>
      <c r="I23" s="8">
        <f>IF(ISNUMBER(Sheet5!I24),IFERROR(H23*1.5,Sheet5!I24),Sheet5!I24)</f>
        <v>105</v>
      </c>
      <c r="J23" s="8">
        <f t="shared" si="0"/>
        <v>140</v>
      </c>
      <c r="K23" s="2" t="s">
        <v>17</v>
      </c>
    </row>
    <row r="24" spans="1:11" x14ac:dyDescent="0.3">
      <c r="A24" s="30" t="s">
        <v>30</v>
      </c>
      <c r="B24" s="31"/>
      <c r="C24" s="31"/>
      <c r="D24" s="31"/>
      <c r="E24" s="31"/>
      <c r="F24" s="31"/>
      <c r="G24" s="32"/>
      <c r="H24" s="8">
        <v>200</v>
      </c>
      <c r="I24" s="8">
        <f>IF(ISNUMBER(Sheet5!I25),IFERROR(H24*1.5,Sheet5!I25),Sheet5!I25)</f>
        <v>300</v>
      </c>
      <c r="J24" s="8">
        <v>300</v>
      </c>
      <c r="K24" s="2" t="s">
        <v>31</v>
      </c>
    </row>
    <row r="25" spans="1:11" ht="15" thickBot="1" x14ac:dyDescent="0.35">
      <c r="A25" s="81" t="s">
        <v>32</v>
      </c>
      <c r="B25" s="82"/>
      <c r="C25" s="82"/>
      <c r="D25" s="82"/>
      <c r="E25" s="82"/>
      <c r="F25" s="82"/>
      <c r="G25" s="83"/>
      <c r="H25" s="8">
        <v>70</v>
      </c>
      <c r="I25" s="8">
        <f>IF(ISNUMBER(Sheet5!I26),IFERROR(H25*1.5,Sheet5!I26),Sheet5!I26)</f>
        <v>105</v>
      </c>
      <c r="J25" s="8">
        <v>100</v>
      </c>
      <c r="K25" s="3" t="s">
        <v>31</v>
      </c>
    </row>
    <row r="26" spans="1:11" ht="15" thickBot="1" x14ac:dyDescent="0.35">
      <c r="A26" s="66" t="s">
        <v>33</v>
      </c>
      <c r="B26" s="67"/>
      <c r="C26" s="67"/>
      <c r="D26" s="67"/>
      <c r="E26" s="67"/>
      <c r="F26" s="67"/>
      <c r="G26" s="67"/>
      <c r="H26" s="67"/>
      <c r="I26" s="67"/>
      <c r="J26" s="67"/>
      <c r="K26" s="68"/>
    </row>
    <row r="27" spans="1:11" x14ac:dyDescent="0.3">
      <c r="A27" s="52" t="s">
        <v>34</v>
      </c>
      <c r="B27" s="53"/>
      <c r="C27" s="53"/>
      <c r="D27" s="53"/>
      <c r="E27" s="53"/>
      <c r="F27" s="53"/>
      <c r="G27" s="53"/>
      <c r="H27" s="8" t="s">
        <v>58</v>
      </c>
      <c r="I27" s="8" t="s">
        <v>58</v>
      </c>
      <c r="J27" s="8" t="s">
        <v>59</v>
      </c>
      <c r="K27" s="4" t="s">
        <v>17</v>
      </c>
    </row>
    <row r="28" spans="1:11" x14ac:dyDescent="0.3">
      <c r="A28" s="48" t="s">
        <v>36</v>
      </c>
      <c r="B28" s="33"/>
      <c r="C28" s="33"/>
      <c r="D28" s="33"/>
      <c r="E28" s="33"/>
      <c r="F28" s="33"/>
      <c r="G28" s="33"/>
      <c r="H28" s="8">
        <f>Sheet5!H29*0.9</f>
        <v>315</v>
      </c>
      <c r="I28" s="9" t="s">
        <v>35</v>
      </c>
      <c r="J28" s="9" t="s">
        <v>35</v>
      </c>
      <c r="K28" s="2" t="s">
        <v>37</v>
      </c>
    </row>
    <row r="29" spans="1:11" x14ac:dyDescent="0.3">
      <c r="A29" s="48" t="s">
        <v>38</v>
      </c>
      <c r="B29" s="33"/>
      <c r="C29" s="33"/>
      <c r="D29" s="33"/>
      <c r="E29" s="33"/>
      <c r="F29" s="33"/>
      <c r="G29" s="33"/>
      <c r="H29" s="8">
        <f>Sheet5!H30*0.9</f>
        <v>270</v>
      </c>
      <c r="I29" s="9" t="s">
        <v>35</v>
      </c>
      <c r="J29" s="9" t="s">
        <v>35</v>
      </c>
      <c r="K29" s="2" t="s">
        <v>37</v>
      </c>
    </row>
    <row r="30" spans="1:11" x14ac:dyDescent="0.3">
      <c r="A30" s="48" t="s">
        <v>39</v>
      </c>
      <c r="B30" s="33"/>
      <c r="C30" s="33"/>
      <c r="D30" s="33"/>
      <c r="E30" s="33"/>
      <c r="F30" s="33"/>
      <c r="G30" s="33"/>
      <c r="H30" s="8">
        <v>250</v>
      </c>
      <c r="I30" s="9" t="s">
        <v>35</v>
      </c>
      <c r="J30" s="9" t="s">
        <v>35</v>
      </c>
      <c r="K30" s="2" t="s">
        <v>17</v>
      </c>
    </row>
    <row r="31" spans="1:11" x14ac:dyDescent="0.3">
      <c r="A31" s="48" t="s">
        <v>355</v>
      </c>
      <c r="B31" s="33"/>
      <c r="C31" s="33"/>
      <c r="D31" s="33"/>
      <c r="E31" s="33"/>
      <c r="F31" s="33"/>
      <c r="G31" s="33"/>
      <c r="H31" s="8">
        <v>300</v>
      </c>
      <c r="I31" s="9" t="s">
        <v>35</v>
      </c>
      <c r="J31" s="9" t="s">
        <v>35</v>
      </c>
      <c r="K31" s="2" t="s">
        <v>37</v>
      </c>
    </row>
    <row r="32" spans="1:11" x14ac:dyDescent="0.3">
      <c r="A32" s="48" t="s">
        <v>42</v>
      </c>
      <c r="B32" s="33"/>
      <c r="C32" s="33"/>
      <c r="D32" s="33"/>
      <c r="E32" s="33"/>
      <c r="F32" s="33"/>
      <c r="G32" s="33"/>
      <c r="H32" s="8">
        <f>Sheet5!H34*0.9</f>
        <v>180</v>
      </c>
      <c r="I32" s="9" t="s">
        <v>35</v>
      </c>
      <c r="J32" s="9" t="s">
        <v>35</v>
      </c>
      <c r="K32" s="2" t="s">
        <v>37</v>
      </c>
    </row>
    <row r="33" spans="1:11" x14ac:dyDescent="0.3">
      <c r="A33" s="48" t="s">
        <v>43</v>
      </c>
      <c r="B33" s="33"/>
      <c r="C33" s="33"/>
      <c r="D33" s="33"/>
      <c r="E33" s="33"/>
      <c r="F33" s="33"/>
      <c r="G33" s="33"/>
      <c r="H33" s="8">
        <v>80</v>
      </c>
      <c r="I33" s="9" t="s">
        <v>35</v>
      </c>
      <c r="J33" s="9" t="s">
        <v>35</v>
      </c>
      <c r="K33" s="2" t="s">
        <v>17</v>
      </c>
    </row>
    <row r="34" spans="1:11" ht="20.399999999999999" x14ac:dyDescent="0.3">
      <c r="A34" s="48" t="s">
        <v>44</v>
      </c>
      <c r="B34" s="33"/>
      <c r="C34" s="33"/>
      <c r="D34" s="33"/>
      <c r="E34" s="33"/>
      <c r="F34" s="33"/>
      <c r="G34" s="33"/>
      <c r="H34" s="8" t="s">
        <v>356</v>
      </c>
      <c r="I34" s="9" t="s">
        <v>35</v>
      </c>
      <c r="J34" s="9" t="s">
        <v>35</v>
      </c>
      <c r="K34" s="2" t="s">
        <v>45</v>
      </c>
    </row>
    <row r="35" spans="1:11" ht="20.399999999999999" x14ac:dyDescent="0.3">
      <c r="A35" s="48" t="s">
        <v>46</v>
      </c>
      <c r="B35" s="33"/>
      <c r="C35" s="33"/>
      <c r="D35" s="33"/>
      <c r="E35" s="33"/>
      <c r="F35" s="33"/>
      <c r="G35" s="33"/>
      <c r="H35" s="8" t="s">
        <v>356</v>
      </c>
      <c r="I35" s="9" t="s">
        <v>35</v>
      </c>
      <c r="J35" s="9" t="s">
        <v>35</v>
      </c>
      <c r="K35" s="2" t="s">
        <v>45</v>
      </c>
    </row>
    <row r="36" spans="1:11" x14ac:dyDescent="0.3">
      <c r="A36" s="24" t="s">
        <v>374</v>
      </c>
      <c r="B36" s="25"/>
      <c r="C36" s="25"/>
      <c r="D36" s="25"/>
      <c r="E36" s="25"/>
      <c r="F36" s="25"/>
      <c r="G36" s="26"/>
      <c r="H36" s="8">
        <v>150</v>
      </c>
      <c r="I36" s="9">
        <v>150</v>
      </c>
      <c r="J36" s="9">
        <v>150</v>
      </c>
      <c r="K36" s="2" t="s">
        <v>17</v>
      </c>
    </row>
    <row r="37" spans="1:11" x14ac:dyDescent="0.3">
      <c r="A37" s="48" t="s">
        <v>47</v>
      </c>
      <c r="B37" s="33"/>
      <c r="C37" s="33"/>
      <c r="D37" s="33"/>
      <c r="E37" s="33"/>
      <c r="F37" s="33"/>
      <c r="G37" s="33"/>
      <c r="H37" s="8">
        <f>Sheet5!H38*0.9</f>
        <v>117</v>
      </c>
      <c r="I37" s="9">
        <v>160</v>
      </c>
      <c r="J37" s="9">
        <v>205</v>
      </c>
      <c r="K37" s="2" t="s">
        <v>17</v>
      </c>
    </row>
    <row r="38" spans="1:11" x14ac:dyDescent="0.3">
      <c r="A38" s="48" t="s">
        <v>48</v>
      </c>
      <c r="B38" s="33"/>
      <c r="C38" s="33"/>
      <c r="D38" s="33"/>
      <c r="E38" s="33"/>
      <c r="F38" s="33"/>
      <c r="G38" s="33"/>
      <c r="H38" s="8" t="s">
        <v>58</v>
      </c>
      <c r="I38" s="8" t="s">
        <v>58</v>
      </c>
      <c r="J38" s="8" t="s">
        <v>58</v>
      </c>
      <c r="K38" s="2" t="s">
        <v>17</v>
      </c>
    </row>
    <row r="39" spans="1:11" x14ac:dyDescent="0.3">
      <c r="A39" s="48" t="s">
        <v>49</v>
      </c>
      <c r="B39" s="33"/>
      <c r="C39" s="33"/>
      <c r="D39" s="33"/>
      <c r="E39" s="33"/>
      <c r="F39" s="33"/>
      <c r="G39" s="33"/>
      <c r="H39" s="8">
        <f>Sheet5!H40*0.9</f>
        <v>135</v>
      </c>
      <c r="I39" s="9">
        <v>185</v>
      </c>
      <c r="J39" s="9">
        <v>225</v>
      </c>
      <c r="K39" s="2" t="s">
        <v>17</v>
      </c>
    </row>
    <row r="40" spans="1:11" x14ac:dyDescent="0.3">
      <c r="A40" s="48" t="s">
        <v>357</v>
      </c>
      <c r="B40" s="33"/>
      <c r="C40" s="33"/>
      <c r="D40" s="33"/>
      <c r="E40" s="33"/>
      <c r="F40" s="33"/>
      <c r="G40" s="33"/>
      <c r="H40" s="8">
        <v>155</v>
      </c>
      <c r="I40" s="9">
        <v>195</v>
      </c>
      <c r="J40" s="9">
        <v>245</v>
      </c>
      <c r="K40" s="2" t="s">
        <v>17</v>
      </c>
    </row>
    <row r="41" spans="1:11" x14ac:dyDescent="0.3">
      <c r="A41" s="48" t="s">
        <v>51</v>
      </c>
      <c r="B41" s="33"/>
      <c r="C41" s="33"/>
      <c r="D41" s="33"/>
      <c r="E41" s="33"/>
      <c r="F41" s="33"/>
      <c r="G41" s="33"/>
      <c r="H41" s="8">
        <v>140</v>
      </c>
      <c r="I41" s="9">
        <v>175</v>
      </c>
      <c r="J41" s="9">
        <v>215</v>
      </c>
      <c r="K41" s="2" t="s">
        <v>17</v>
      </c>
    </row>
    <row r="42" spans="1:11" x14ac:dyDescent="0.3">
      <c r="A42" s="48" t="s">
        <v>52</v>
      </c>
      <c r="B42" s="33"/>
      <c r="C42" s="33"/>
      <c r="D42" s="33"/>
      <c r="E42" s="33"/>
      <c r="F42" s="33"/>
      <c r="G42" s="33"/>
      <c r="H42" s="8">
        <f>Sheet5!H43*0.9</f>
        <v>148.5</v>
      </c>
      <c r="I42" s="9">
        <v>200</v>
      </c>
      <c r="J42" s="9">
        <v>245</v>
      </c>
      <c r="K42" s="2" t="s">
        <v>17</v>
      </c>
    </row>
    <row r="43" spans="1:11" x14ac:dyDescent="0.3">
      <c r="A43" s="48" t="s">
        <v>53</v>
      </c>
      <c r="B43" s="33"/>
      <c r="C43" s="33"/>
      <c r="D43" s="33"/>
      <c r="E43" s="33"/>
      <c r="F43" s="33"/>
      <c r="G43" s="33"/>
      <c r="H43" s="8">
        <f>Sheet5!H44*0.9</f>
        <v>144</v>
      </c>
      <c r="I43" s="9">
        <v>190</v>
      </c>
      <c r="J43" s="9">
        <v>235</v>
      </c>
      <c r="K43" s="2" t="s">
        <v>17</v>
      </c>
    </row>
    <row r="44" spans="1:11" x14ac:dyDescent="0.3">
      <c r="A44" s="48" t="s">
        <v>54</v>
      </c>
      <c r="B44" s="33"/>
      <c r="C44" s="33"/>
      <c r="D44" s="33"/>
      <c r="E44" s="33"/>
      <c r="F44" s="33"/>
      <c r="G44" s="33"/>
      <c r="H44" s="8">
        <f>Sheet5!H45*0.9</f>
        <v>265.5</v>
      </c>
      <c r="I44" s="9">
        <v>330</v>
      </c>
      <c r="J44" s="9">
        <v>370</v>
      </c>
      <c r="K44" s="2" t="s">
        <v>17</v>
      </c>
    </row>
    <row r="45" spans="1:11" x14ac:dyDescent="0.3">
      <c r="A45" s="48" t="s">
        <v>55</v>
      </c>
      <c r="B45" s="33"/>
      <c r="C45" s="33"/>
      <c r="D45" s="33"/>
      <c r="E45" s="33"/>
      <c r="F45" s="33"/>
      <c r="G45" s="33"/>
      <c r="H45" s="8">
        <f>Sheet5!H46*0.9</f>
        <v>112.5</v>
      </c>
      <c r="I45" s="9" t="s">
        <v>35</v>
      </c>
      <c r="J45" s="9" t="s">
        <v>35</v>
      </c>
      <c r="K45" s="2" t="s">
        <v>45</v>
      </c>
    </row>
    <row r="46" spans="1:11" x14ac:dyDescent="0.3">
      <c r="A46" s="48" t="s">
        <v>56</v>
      </c>
      <c r="B46" s="33"/>
      <c r="C46" s="33"/>
      <c r="D46" s="33"/>
      <c r="E46" s="33"/>
      <c r="F46" s="33"/>
      <c r="G46" s="33"/>
      <c r="H46" s="8">
        <f>Sheet5!H47*0.9</f>
        <v>360</v>
      </c>
      <c r="I46" s="9" t="s">
        <v>35</v>
      </c>
      <c r="J46" s="9" t="s">
        <v>35</v>
      </c>
      <c r="K46" s="2" t="s">
        <v>45</v>
      </c>
    </row>
    <row r="47" spans="1:11" x14ac:dyDescent="0.3">
      <c r="A47" s="48" t="s">
        <v>57</v>
      </c>
      <c r="B47" s="33"/>
      <c r="C47" s="33"/>
      <c r="D47" s="33"/>
      <c r="E47" s="33"/>
      <c r="F47" s="33"/>
      <c r="G47" s="33"/>
      <c r="H47" s="8" t="str">
        <f>Sheet5!H48</f>
        <v>Cost +28% Margin</v>
      </c>
      <c r="I47" s="9" t="s">
        <v>58</v>
      </c>
      <c r="J47" s="9" t="s">
        <v>59</v>
      </c>
      <c r="K47" s="2" t="s">
        <v>45</v>
      </c>
    </row>
    <row r="48" spans="1:11" x14ac:dyDescent="0.3">
      <c r="A48" s="48" t="s">
        <v>60</v>
      </c>
      <c r="B48" s="33"/>
      <c r="C48" s="33"/>
      <c r="D48" s="33"/>
      <c r="E48" s="33"/>
      <c r="F48" s="33"/>
      <c r="G48" s="33"/>
      <c r="H48" s="8">
        <f>Sheet5!H49*0.9</f>
        <v>126</v>
      </c>
      <c r="I48" s="9">
        <v>180</v>
      </c>
      <c r="J48" s="9">
        <v>280</v>
      </c>
      <c r="K48" s="2" t="s">
        <v>17</v>
      </c>
    </row>
    <row r="49" spans="1:11" ht="15" hidden="1" thickBot="1" x14ac:dyDescent="0.35">
      <c r="A49" s="84" t="s">
        <v>61</v>
      </c>
      <c r="B49" s="85"/>
      <c r="C49" s="85"/>
      <c r="D49" s="85"/>
      <c r="E49" s="85"/>
      <c r="F49" s="85"/>
      <c r="G49" s="85"/>
      <c r="H49" s="86"/>
      <c r="I49" s="85"/>
      <c r="J49" s="85"/>
      <c r="K49" s="87"/>
    </row>
    <row r="50" spans="1:11" x14ac:dyDescent="0.3">
      <c r="A50" s="52" t="s">
        <v>358</v>
      </c>
      <c r="B50" s="53"/>
      <c r="C50" s="53"/>
      <c r="D50" s="53"/>
      <c r="E50" s="53"/>
      <c r="F50" s="53"/>
      <c r="G50" s="53"/>
      <c r="H50" s="8">
        <f>Sheet5!H51*0.9</f>
        <v>450</v>
      </c>
      <c r="I50" s="8">
        <v>575</v>
      </c>
      <c r="J50" s="8">
        <v>575</v>
      </c>
      <c r="K50" s="4" t="s">
        <v>37</v>
      </c>
    </row>
    <row r="51" spans="1:11" x14ac:dyDescent="0.3">
      <c r="A51" s="48" t="s">
        <v>359</v>
      </c>
      <c r="B51" s="33"/>
      <c r="C51" s="33"/>
      <c r="D51" s="33"/>
      <c r="E51" s="33"/>
      <c r="F51" s="33"/>
      <c r="G51" s="33"/>
      <c r="H51" s="8">
        <f>Sheet5!H52*0.9</f>
        <v>540</v>
      </c>
      <c r="I51" s="9">
        <v>675</v>
      </c>
      <c r="J51" s="9">
        <v>675</v>
      </c>
      <c r="K51" s="2" t="s">
        <v>37</v>
      </c>
    </row>
    <row r="52" spans="1:11" x14ac:dyDescent="0.3">
      <c r="A52" s="48" t="s">
        <v>360</v>
      </c>
      <c r="B52" s="33"/>
      <c r="C52" s="33"/>
      <c r="D52" s="33"/>
      <c r="E52" s="33"/>
      <c r="F52" s="33"/>
      <c r="G52" s="33"/>
      <c r="H52" s="8">
        <f>Sheet5!H53*0.9</f>
        <v>135</v>
      </c>
      <c r="I52" s="9">
        <v>225</v>
      </c>
      <c r="J52" s="9">
        <v>225</v>
      </c>
      <c r="K52" s="2" t="s">
        <v>37</v>
      </c>
    </row>
    <row r="53" spans="1:11" x14ac:dyDescent="0.3">
      <c r="A53" s="48" t="s">
        <v>361</v>
      </c>
      <c r="B53" s="33"/>
      <c r="C53" s="33"/>
      <c r="D53" s="33"/>
      <c r="E53" s="33"/>
      <c r="F53" s="33"/>
      <c r="G53" s="33"/>
      <c r="H53" s="8">
        <f>Sheet5!H54*0.9</f>
        <v>247.5</v>
      </c>
      <c r="I53" s="9">
        <v>275</v>
      </c>
      <c r="J53" s="9">
        <v>275</v>
      </c>
      <c r="K53" s="2" t="s">
        <v>37</v>
      </c>
    </row>
    <row r="54" spans="1:11" ht="15" thickBot="1" x14ac:dyDescent="0.35">
      <c r="A54" s="27" t="s">
        <v>362</v>
      </c>
      <c r="B54" s="28"/>
      <c r="C54" s="28"/>
      <c r="D54" s="28"/>
      <c r="E54" s="28"/>
      <c r="F54" s="28"/>
      <c r="G54" s="28"/>
      <c r="H54" s="8">
        <f>Sheet5!H55*0.9</f>
        <v>225</v>
      </c>
      <c r="I54" s="10">
        <v>350</v>
      </c>
      <c r="J54" s="10">
        <v>350</v>
      </c>
      <c r="K54" s="3" t="s">
        <v>37</v>
      </c>
    </row>
    <row r="55" spans="1:11" ht="15" thickBot="1" x14ac:dyDescent="0.35">
      <c r="A55" s="66" t="s">
        <v>67</v>
      </c>
      <c r="B55" s="67"/>
      <c r="C55" s="67"/>
      <c r="D55" s="67"/>
      <c r="E55" s="67"/>
      <c r="F55" s="67"/>
      <c r="G55" s="67"/>
      <c r="H55" s="67"/>
      <c r="I55" s="67"/>
      <c r="J55" s="67"/>
      <c r="K55" s="68"/>
    </row>
    <row r="56" spans="1:11" x14ac:dyDescent="0.3">
      <c r="A56" s="52" t="s">
        <v>68</v>
      </c>
      <c r="B56" s="53"/>
      <c r="C56" s="53"/>
      <c r="D56" s="53"/>
      <c r="E56" s="53"/>
      <c r="F56" s="53"/>
      <c r="G56" s="53"/>
      <c r="H56" s="8">
        <v>215</v>
      </c>
      <c r="I56" s="8" t="s">
        <v>35</v>
      </c>
      <c r="J56" s="8" t="s">
        <v>35</v>
      </c>
      <c r="K56" s="4" t="s">
        <v>37</v>
      </c>
    </row>
    <row r="57" spans="1:11" x14ac:dyDescent="0.3">
      <c r="A57" s="48" t="s">
        <v>69</v>
      </c>
      <c r="B57" s="33"/>
      <c r="C57" s="33"/>
      <c r="D57" s="33"/>
      <c r="E57" s="33"/>
      <c r="F57" s="33"/>
      <c r="G57" s="33"/>
      <c r="H57" s="8">
        <v>130</v>
      </c>
      <c r="I57" s="9" t="s">
        <v>35</v>
      </c>
      <c r="J57" s="9" t="s">
        <v>35</v>
      </c>
      <c r="K57" s="2" t="s">
        <v>37</v>
      </c>
    </row>
    <row r="58" spans="1:11" x14ac:dyDescent="0.3">
      <c r="A58" s="48" t="s">
        <v>71</v>
      </c>
      <c r="B58" s="33"/>
      <c r="C58" s="33"/>
      <c r="D58" s="33"/>
      <c r="E58" s="33"/>
      <c r="F58" s="33"/>
      <c r="G58" s="33"/>
      <c r="H58" s="8">
        <f>Sheet5!H60</f>
        <v>1000</v>
      </c>
      <c r="I58" s="9" t="s">
        <v>35</v>
      </c>
      <c r="J58" s="9" t="s">
        <v>35</v>
      </c>
      <c r="K58" s="2" t="s">
        <v>37</v>
      </c>
    </row>
    <row r="59" spans="1:11" x14ac:dyDescent="0.3">
      <c r="A59" s="48" t="s">
        <v>72</v>
      </c>
      <c r="B59" s="33"/>
      <c r="C59" s="33"/>
      <c r="D59" s="33"/>
      <c r="E59" s="33"/>
      <c r="F59" s="33"/>
      <c r="G59" s="33"/>
      <c r="H59" s="8">
        <f>Sheet5!H61</f>
        <v>600</v>
      </c>
      <c r="I59" s="9" t="s">
        <v>35</v>
      </c>
      <c r="J59" s="9" t="s">
        <v>35</v>
      </c>
      <c r="K59" s="2" t="s">
        <v>37</v>
      </c>
    </row>
    <row r="60" spans="1:11" ht="18" customHeight="1" x14ac:dyDescent="0.3">
      <c r="A60" s="48" t="s">
        <v>73</v>
      </c>
      <c r="B60" s="33"/>
      <c r="C60" s="33"/>
      <c r="D60" s="33"/>
      <c r="E60" s="33"/>
      <c r="F60" s="33"/>
      <c r="G60" s="33"/>
      <c r="H60" s="8">
        <f>Sheet5!H62</f>
        <v>750</v>
      </c>
      <c r="I60" s="9" t="s">
        <v>35</v>
      </c>
      <c r="J60" s="9" t="s">
        <v>35</v>
      </c>
      <c r="K60" s="2" t="s">
        <v>37</v>
      </c>
    </row>
    <row r="61" spans="1:11" ht="15" thickBot="1" x14ac:dyDescent="0.35">
      <c r="A61" s="27" t="s">
        <v>74</v>
      </c>
      <c r="B61" s="28"/>
      <c r="C61" s="28"/>
      <c r="D61" s="28"/>
      <c r="E61" s="28"/>
      <c r="F61" s="28"/>
      <c r="G61" s="28"/>
      <c r="H61" s="8">
        <f>Sheet5!H63</f>
        <v>400</v>
      </c>
      <c r="I61" s="10" t="s">
        <v>35</v>
      </c>
      <c r="J61" s="10" t="s">
        <v>35</v>
      </c>
      <c r="K61" s="3" t="s">
        <v>37</v>
      </c>
    </row>
    <row r="62" spans="1:11" ht="15" thickBot="1" x14ac:dyDescent="0.35">
      <c r="A62" s="66" t="s">
        <v>75</v>
      </c>
      <c r="B62" s="67"/>
      <c r="C62" s="67"/>
      <c r="D62" s="67"/>
      <c r="E62" s="67"/>
      <c r="F62" s="67"/>
      <c r="G62" s="67"/>
      <c r="H62" s="67"/>
      <c r="I62" s="67"/>
      <c r="J62" s="67"/>
      <c r="K62" s="68"/>
    </row>
    <row r="63" spans="1:11" x14ac:dyDescent="0.3">
      <c r="A63" s="52" t="s">
        <v>76</v>
      </c>
      <c r="B63" s="53"/>
      <c r="C63" s="53"/>
      <c r="D63" s="53"/>
      <c r="E63" s="53"/>
      <c r="F63" s="53"/>
      <c r="G63" s="53"/>
      <c r="H63" s="8">
        <f>Sheet5!H65</f>
        <v>25</v>
      </c>
      <c r="I63" s="8" t="s">
        <v>35</v>
      </c>
      <c r="J63" s="8" t="s">
        <v>35</v>
      </c>
      <c r="K63" s="4" t="s">
        <v>37</v>
      </c>
    </row>
    <row r="64" spans="1:11" ht="15" thickBot="1" x14ac:dyDescent="0.35">
      <c r="A64" s="27" t="s">
        <v>77</v>
      </c>
      <c r="B64" s="28"/>
      <c r="C64" s="28"/>
      <c r="D64" s="28"/>
      <c r="E64" s="28"/>
      <c r="F64" s="28"/>
      <c r="G64" s="28"/>
      <c r="H64" s="8">
        <f>Sheet5!H66</f>
        <v>110</v>
      </c>
      <c r="I64" s="10" t="s">
        <v>35</v>
      </c>
      <c r="J64" s="10" t="s">
        <v>35</v>
      </c>
      <c r="K64" s="3" t="s">
        <v>37</v>
      </c>
    </row>
    <row r="65" spans="1:11" ht="15" thickBot="1" x14ac:dyDescent="0.35">
      <c r="A65" s="66" t="s">
        <v>78</v>
      </c>
      <c r="B65" s="67"/>
      <c r="C65" s="67"/>
      <c r="D65" s="67"/>
      <c r="E65" s="67"/>
      <c r="F65" s="67"/>
      <c r="G65" s="67"/>
      <c r="H65" s="67"/>
      <c r="I65" s="67"/>
      <c r="J65" s="67"/>
      <c r="K65" s="68"/>
    </row>
    <row r="66" spans="1:11" x14ac:dyDescent="0.3">
      <c r="A66" s="52" t="s">
        <v>79</v>
      </c>
      <c r="B66" s="53"/>
      <c r="C66" s="53"/>
      <c r="D66" s="53"/>
      <c r="E66" s="53"/>
      <c r="F66" s="53"/>
      <c r="G66" s="53"/>
      <c r="H66" s="8">
        <f>Sheet5!H68</f>
        <v>425</v>
      </c>
      <c r="I66" s="8" t="s">
        <v>35</v>
      </c>
      <c r="J66" s="8" t="s">
        <v>35</v>
      </c>
      <c r="K66" s="4" t="s">
        <v>37</v>
      </c>
    </row>
    <row r="67" spans="1:11" x14ac:dyDescent="0.3">
      <c r="A67" s="48" t="s">
        <v>80</v>
      </c>
      <c r="B67" s="33"/>
      <c r="C67" s="33"/>
      <c r="D67" s="33"/>
      <c r="E67" s="33"/>
      <c r="F67" s="33"/>
      <c r="G67" s="33"/>
      <c r="H67" s="8">
        <f>Sheet5!H69</f>
        <v>300</v>
      </c>
      <c r="I67" s="9" t="s">
        <v>35</v>
      </c>
      <c r="J67" s="9" t="s">
        <v>35</v>
      </c>
      <c r="K67" s="2" t="s">
        <v>37</v>
      </c>
    </row>
    <row r="68" spans="1:11" ht="12.75" customHeight="1" x14ac:dyDescent="0.3">
      <c r="A68" s="48" t="s">
        <v>81</v>
      </c>
      <c r="B68" s="33"/>
      <c r="C68" s="33"/>
      <c r="D68" s="33"/>
      <c r="E68" s="33"/>
      <c r="F68" s="33"/>
      <c r="G68" s="33"/>
      <c r="H68" s="8">
        <f>Sheet5!H70</f>
        <v>1.3</v>
      </c>
      <c r="I68" s="9" t="s">
        <v>35</v>
      </c>
      <c r="J68" s="9" t="s">
        <v>35</v>
      </c>
      <c r="K68" s="2" t="s">
        <v>363</v>
      </c>
    </row>
    <row r="69" spans="1:11" ht="13.5" customHeight="1" x14ac:dyDescent="0.3">
      <c r="A69" s="48" t="s">
        <v>83</v>
      </c>
      <c r="B69" s="33"/>
      <c r="C69" s="33"/>
      <c r="D69" s="33"/>
      <c r="E69" s="33"/>
      <c r="F69" s="33"/>
      <c r="G69" s="33"/>
      <c r="H69" s="8">
        <f>Sheet5!H71</f>
        <v>2.1</v>
      </c>
      <c r="I69" s="9" t="s">
        <v>35</v>
      </c>
      <c r="J69" s="9" t="s">
        <v>35</v>
      </c>
      <c r="K69" s="2" t="s">
        <v>363</v>
      </c>
    </row>
    <row r="70" spans="1:11" ht="15" thickBot="1" x14ac:dyDescent="0.35">
      <c r="A70" s="27" t="s">
        <v>84</v>
      </c>
      <c r="B70" s="28"/>
      <c r="C70" s="28"/>
      <c r="D70" s="28"/>
      <c r="E70" s="28"/>
      <c r="F70" s="28"/>
      <c r="G70" s="28"/>
      <c r="H70" s="8">
        <f>Sheet5!H72</f>
        <v>300</v>
      </c>
      <c r="I70" s="10" t="s">
        <v>35</v>
      </c>
      <c r="J70" s="10" t="s">
        <v>35</v>
      </c>
      <c r="K70" s="3" t="s">
        <v>37</v>
      </c>
    </row>
    <row r="71" spans="1:11" ht="15" thickBot="1" x14ac:dyDescent="0.35">
      <c r="A71" s="66" t="s">
        <v>85</v>
      </c>
      <c r="B71" s="67"/>
      <c r="C71" s="67"/>
      <c r="D71" s="67"/>
      <c r="E71" s="67"/>
      <c r="F71" s="67"/>
      <c r="G71" s="67"/>
      <c r="H71" s="67"/>
      <c r="I71" s="67"/>
      <c r="J71" s="67"/>
      <c r="K71" s="68"/>
    </row>
    <row r="72" spans="1:11" x14ac:dyDescent="0.3">
      <c r="A72" s="52" t="s">
        <v>86</v>
      </c>
      <c r="B72" s="53"/>
      <c r="C72" s="53"/>
      <c r="D72" s="53"/>
      <c r="E72" s="53"/>
      <c r="F72" s="53"/>
      <c r="G72" s="53"/>
      <c r="H72" s="8">
        <f>Sheet5!H74</f>
        <v>175</v>
      </c>
      <c r="I72" s="53" t="s">
        <v>87</v>
      </c>
      <c r="J72" s="53"/>
      <c r="K72" s="54"/>
    </row>
    <row r="73" spans="1:11" x14ac:dyDescent="0.3">
      <c r="A73" s="48" t="s">
        <v>88</v>
      </c>
      <c r="B73" s="33"/>
      <c r="C73" s="33"/>
      <c r="D73" s="33"/>
      <c r="E73" s="33"/>
      <c r="F73" s="33"/>
      <c r="G73" s="33"/>
      <c r="H73" s="8">
        <f>Sheet5!H75</f>
        <v>175</v>
      </c>
      <c r="I73" s="33" t="s">
        <v>87</v>
      </c>
      <c r="J73" s="33"/>
      <c r="K73" s="34"/>
    </row>
    <row r="74" spans="1:11" x14ac:dyDescent="0.3">
      <c r="A74" s="48" t="s">
        <v>89</v>
      </c>
      <c r="B74" s="33"/>
      <c r="C74" s="33"/>
      <c r="D74" s="33"/>
      <c r="E74" s="33"/>
      <c r="F74" s="33"/>
      <c r="G74" s="33"/>
      <c r="H74" s="8">
        <f>Sheet5!H76</f>
        <v>225</v>
      </c>
      <c r="I74" s="33" t="s">
        <v>87</v>
      </c>
      <c r="J74" s="33"/>
      <c r="K74" s="34"/>
    </row>
    <row r="75" spans="1:11" x14ac:dyDescent="0.3">
      <c r="A75" s="48" t="s">
        <v>90</v>
      </c>
      <c r="B75" s="33"/>
      <c r="C75" s="33"/>
      <c r="D75" s="33"/>
      <c r="E75" s="33"/>
      <c r="F75" s="33"/>
      <c r="G75" s="33"/>
      <c r="H75" s="8">
        <f>Sheet5!H77</f>
        <v>175</v>
      </c>
      <c r="I75" s="33" t="s">
        <v>87</v>
      </c>
      <c r="J75" s="33"/>
      <c r="K75" s="34"/>
    </row>
    <row r="76" spans="1:11" x14ac:dyDescent="0.3">
      <c r="A76" s="48" t="s">
        <v>91</v>
      </c>
      <c r="B76" s="33"/>
      <c r="C76" s="33"/>
      <c r="D76" s="33"/>
      <c r="E76" s="33"/>
      <c r="F76" s="33"/>
      <c r="G76" s="33"/>
      <c r="H76" s="8">
        <f>Sheet5!H78</f>
        <v>200</v>
      </c>
      <c r="I76" s="33" t="s">
        <v>87</v>
      </c>
      <c r="J76" s="33"/>
      <c r="K76" s="34"/>
    </row>
    <row r="77" spans="1:11" x14ac:dyDescent="0.3">
      <c r="A77" s="48" t="s">
        <v>92</v>
      </c>
      <c r="B77" s="33"/>
      <c r="C77" s="33"/>
      <c r="D77" s="33"/>
      <c r="E77" s="33"/>
      <c r="F77" s="33"/>
      <c r="G77" s="33"/>
      <c r="H77" s="8">
        <f>Sheet5!H79</f>
        <v>225</v>
      </c>
      <c r="I77" s="33" t="s">
        <v>87</v>
      </c>
      <c r="J77" s="33"/>
      <c r="K77" s="34"/>
    </row>
    <row r="78" spans="1:11" x14ac:dyDescent="0.3">
      <c r="A78" s="48" t="s">
        <v>93</v>
      </c>
      <c r="B78" s="33"/>
      <c r="C78" s="33"/>
      <c r="D78" s="33"/>
      <c r="E78" s="33"/>
      <c r="F78" s="33"/>
      <c r="G78" s="33"/>
      <c r="H78" s="8">
        <f>Sheet5!H80</f>
        <v>275</v>
      </c>
      <c r="I78" s="33" t="s">
        <v>87</v>
      </c>
      <c r="J78" s="33"/>
      <c r="K78" s="34"/>
    </row>
    <row r="79" spans="1:11" x14ac:dyDescent="0.3">
      <c r="A79" s="48" t="s">
        <v>94</v>
      </c>
      <c r="B79" s="33"/>
      <c r="C79" s="33"/>
      <c r="D79" s="33"/>
      <c r="E79" s="33"/>
      <c r="F79" s="33"/>
      <c r="G79" s="33"/>
      <c r="H79" s="8">
        <f>Sheet5!H81</f>
        <v>50</v>
      </c>
      <c r="I79" s="33" t="s">
        <v>37</v>
      </c>
      <c r="J79" s="33"/>
      <c r="K79" s="34"/>
    </row>
    <row r="80" spans="1:11" x14ac:dyDescent="0.3">
      <c r="A80" s="48" t="s">
        <v>95</v>
      </c>
      <c r="B80" s="33"/>
      <c r="C80" s="33"/>
      <c r="D80" s="33"/>
      <c r="E80" s="33"/>
      <c r="F80" s="33"/>
      <c r="G80" s="33"/>
      <c r="H80" s="8">
        <f>Sheet5!H82</f>
        <v>225</v>
      </c>
      <c r="I80" s="33" t="s">
        <v>37</v>
      </c>
      <c r="J80" s="33"/>
      <c r="K80" s="34"/>
    </row>
    <row r="81" spans="1:11" ht="15" thickBot="1" x14ac:dyDescent="0.35">
      <c r="A81" s="27" t="s">
        <v>96</v>
      </c>
      <c r="B81" s="28"/>
      <c r="C81" s="28"/>
      <c r="D81" s="28"/>
      <c r="E81" s="28"/>
      <c r="F81" s="28"/>
      <c r="G81" s="28"/>
      <c r="H81" s="8">
        <f>Sheet5!H83</f>
        <v>18</v>
      </c>
      <c r="I81" s="28" t="s">
        <v>45</v>
      </c>
      <c r="J81" s="28"/>
      <c r="K81" s="29"/>
    </row>
    <row r="82" spans="1:11" ht="15" thickBot="1" x14ac:dyDescent="0.35">
      <c r="A82" s="66" t="s">
        <v>97</v>
      </c>
      <c r="B82" s="67"/>
      <c r="C82" s="67"/>
      <c r="D82" s="67"/>
      <c r="E82" s="67"/>
      <c r="F82" s="67"/>
      <c r="G82" s="67"/>
      <c r="H82" s="67"/>
      <c r="I82" s="67"/>
      <c r="J82" s="67"/>
      <c r="K82" s="68"/>
    </row>
    <row r="83" spans="1:11" x14ac:dyDescent="0.3">
      <c r="A83" s="52" t="s">
        <v>98</v>
      </c>
      <c r="B83" s="53"/>
      <c r="C83" s="53"/>
      <c r="D83" s="53"/>
      <c r="E83" s="53"/>
      <c r="F83" s="53"/>
      <c r="G83" s="53"/>
      <c r="H83" s="8">
        <f>Sheet5!H85</f>
        <v>8</v>
      </c>
      <c r="I83" s="53" t="s">
        <v>37</v>
      </c>
      <c r="J83" s="53"/>
      <c r="K83" s="54"/>
    </row>
    <row r="84" spans="1:11" x14ac:dyDescent="0.3">
      <c r="A84" s="48" t="s">
        <v>99</v>
      </c>
      <c r="B84" s="33"/>
      <c r="C84" s="33"/>
      <c r="D84" s="33"/>
      <c r="E84" s="33"/>
      <c r="F84" s="33"/>
      <c r="G84" s="33"/>
      <c r="H84" s="8">
        <f>Sheet5!H86</f>
        <v>22</v>
      </c>
      <c r="I84" s="33" t="s">
        <v>37</v>
      </c>
      <c r="J84" s="33"/>
      <c r="K84" s="34"/>
    </row>
    <row r="85" spans="1:11" x14ac:dyDescent="0.3">
      <c r="A85" s="48" t="s">
        <v>100</v>
      </c>
      <c r="B85" s="33"/>
      <c r="C85" s="33"/>
      <c r="D85" s="33"/>
      <c r="E85" s="33"/>
      <c r="F85" s="33"/>
      <c r="G85" s="33"/>
      <c r="H85" s="8">
        <f>Sheet5!H87</f>
        <v>2.25</v>
      </c>
      <c r="I85" s="33" t="s">
        <v>82</v>
      </c>
      <c r="J85" s="33"/>
      <c r="K85" s="34"/>
    </row>
    <row r="86" spans="1:11" x14ac:dyDescent="0.3">
      <c r="A86" s="48" t="s">
        <v>101</v>
      </c>
      <c r="B86" s="33"/>
      <c r="C86" s="33"/>
      <c r="D86" s="33"/>
      <c r="E86" s="33"/>
      <c r="F86" s="33"/>
      <c r="G86" s="33"/>
      <c r="H86" s="8">
        <f>Sheet5!H88</f>
        <v>2.9</v>
      </c>
      <c r="I86" s="33" t="s">
        <v>82</v>
      </c>
      <c r="J86" s="33"/>
      <c r="K86" s="34"/>
    </row>
    <row r="87" spans="1:11" x14ac:dyDescent="0.3">
      <c r="A87" s="48" t="s">
        <v>102</v>
      </c>
      <c r="B87" s="33"/>
      <c r="C87" s="33"/>
      <c r="D87" s="33"/>
      <c r="E87" s="33"/>
      <c r="F87" s="33"/>
      <c r="G87" s="33"/>
      <c r="H87" s="8">
        <f>Sheet5!H89</f>
        <v>1.9</v>
      </c>
      <c r="I87" s="33" t="s">
        <v>82</v>
      </c>
      <c r="J87" s="33"/>
      <c r="K87" s="34"/>
    </row>
    <row r="88" spans="1:11" x14ac:dyDescent="0.3">
      <c r="A88" s="48" t="s">
        <v>103</v>
      </c>
      <c r="B88" s="33"/>
      <c r="C88" s="33"/>
      <c r="D88" s="33"/>
      <c r="E88" s="33"/>
      <c r="F88" s="33"/>
      <c r="G88" s="33"/>
      <c r="H88" s="8">
        <f>Sheet5!H90</f>
        <v>2.75</v>
      </c>
      <c r="I88" s="33" t="s">
        <v>82</v>
      </c>
      <c r="J88" s="33"/>
      <c r="K88" s="34"/>
    </row>
    <row r="89" spans="1:11" x14ac:dyDescent="0.3">
      <c r="A89" s="48" t="s">
        <v>104</v>
      </c>
      <c r="B89" s="33"/>
      <c r="C89" s="33"/>
      <c r="D89" s="33"/>
      <c r="E89" s="33"/>
      <c r="F89" s="33"/>
      <c r="G89" s="33"/>
      <c r="H89" s="8">
        <f>Sheet5!H91</f>
        <v>0.75</v>
      </c>
      <c r="I89" s="33" t="s">
        <v>82</v>
      </c>
      <c r="J89" s="33"/>
      <c r="K89" s="34"/>
    </row>
    <row r="90" spans="1:11" x14ac:dyDescent="0.3">
      <c r="A90" s="48" t="s">
        <v>105</v>
      </c>
      <c r="B90" s="33"/>
      <c r="C90" s="33"/>
      <c r="D90" s="33"/>
      <c r="E90" s="33"/>
      <c r="F90" s="33"/>
      <c r="G90" s="33"/>
      <c r="H90" s="8">
        <f>Sheet5!H92</f>
        <v>0.95</v>
      </c>
      <c r="I90" s="33" t="s">
        <v>82</v>
      </c>
      <c r="J90" s="33"/>
      <c r="K90" s="34"/>
    </row>
    <row r="91" spans="1:11" ht="20.399999999999999" x14ac:dyDescent="0.3">
      <c r="A91" s="48" t="s">
        <v>106</v>
      </c>
      <c r="B91" s="33"/>
      <c r="C91" s="33"/>
      <c r="D91" s="33"/>
      <c r="E91" s="33"/>
      <c r="F91" s="33"/>
      <c r="G91" s="33"/>
      <c r="H91" s="8" t="str">
        <f>Sheet5!H93</f>
        <v>Cost + 28% Margin</v>
      </c>
      <c r="I91" s="33" t="s">
        <v>107</v>
      </c>
      <c r="J91" s="33"/>
      <c r="K91" s="34"/>
    </row>
    <row r="92" spans="1:11" x14ac:dyDescent="0.3">
      <c r="A92" s="48" t="s">
        <v>108</v>
      </c>
      <c r="B92" s="33"/>
      <c r="C92" s="33"/>
      <c r="D92" s="33"/>
      <c r="E92" s="33"/>
      <c r="F92" s="33"/>
      <c r="G92" s="33"/>
      <c r="H92" s="8">
        <f>Sheet5!H94</f>
        <v>100</v>
      </c>
      <c r="I92" s="33" t="s">
        <v>37</v>
      </c>
      <c r="J92" s="33"/>
      <c r="K92" s="34"/>
    </row>
    <row r="93" spans="1:11" x14ac:dyDescent="0.3">
      <c r="A93" s="48" t="s">
        <v>109</v>
      </c>
      <c r="B93" s="33"/>
      <c r="C93" s="33"/>
      <c r="D93" s="33"/>
      <c r="E93" s="33"/>
      <c r="F93" s="33"/>
      <c r="G93" s="33"/>
      <c r="H93" s="8">
        <f>Sheet5!H95</f>
        <v>50</v>
      </c>
      <c r="I93" s="33" t="s">
        <v>37</v>
      </c>
      <c r="J93" s="33"/>
      <c r="K93" s="34"/>
    </row>
    <row r="94" spans="1:11" x14ac:dyDescent="0.3">
      <c r="A94" s="48" t="s">
        <v>110</v>
      </c>
      <c r="B94" s="33"/>
      <c r="C94" s="33"/>
      <c r="D94" s="33"/>
      <c r="E94" s="33"/>
      <c r="F94" s="33"/>
      <c r="G94" s="33"/>
      <c r="H94" s="8">
        <f>Sheet5!H96</f>
        <v>15</v>
      </c>
      <c r="I94" s="33" t="s">
        <v>37</v>
      </c>
      <c r="J94" s="33"/>
      <c r="K94" s="34"/>
    </row>
    <row r="95" spans="1:11" ht="15" thickBot="1" x14ac:dyDescent="0.35">
      <c r="A95" s="27" t="s">
        <v>111</v>
      </c>
      <c r="B95" s="28"/>
      <c r="C95" s="28"/>
      <c r="D95" s="28"/>
      <c r="E95" s="28"/>
      <c r="F95" s="28"/>
      <c r="G95" s="28"/>
      <c r="H95" s="8">
        <f>Sheet5!H97</f>
        <v>100</v>
      </c>
      <c r="I95" s="28" t="s">
        <v>37</v>
      </c>
      <c r="J95" s="28"/>
      <c r="K95" s="29"/>
    </row>
    <row r="96" spans="1:11" ht="15" thickBot="1" x14ac:dyDescent="0.35">
      <c r="A96" s="66" t="s">
        <v>112</v>
      </c>
      <c r="B96" s="67"/>
      <c r="C96" s="67"/>
      <c r="D96" s="67"/>
      <c r="E96" s="67"/>
      <c r="F96" s="67"/>
      <c r="G96" s="67"/>
      <c r="H96" s="67"/>
      <c r="I96" s="67"/>
      <c r="J96" s="67"/>
      <c r="K96" s="68"/>
    </row>
    <row r="97" spans="1:11" x14ac:dyDescent="0.3">
      <c r="A97" s="52" t="s">
        <v>113</v>
      </c>
      <c r="B97" s="53"/>
      <c r="C97" s="53"/>
      <c r="D97" s="53"/>
      <c r="E97" s="53"/>
      <c r="F97" s="53"/>
      <c r="G97" s="53"/>
      <c r="H97" s="8">
        <f>Sheet5!H99</f>
        <v>125</v>
      </c>
      <c r="I97" s="53" t="s">
        <v>37</v>
      </c>
      <c r="J97" s="53"/>
      <c r="K97" s="54"/>
    </row>
    <row r="98" spans="1:11" x14ac:dyDescent="0.3">
      <c r="A98" s="48" t="s">
        <v>114</v>
      </c>
      <c r="B98" s="33"/>
      <c r="C98" s="33"/>
      <c r="D98" s="33"/>
      <c r="E98" s="33"/>
      <c r="F98" s="33"/>
      <c r="G98" s="33"/>
      <c r="H98" s="8">
        <f>Sheet5!H100</f>
        <v>150</v>
      </c>
      <c r="I98" s="33" t="s">
        <v>37</v>
      </c>
      <c r="J98" s="33"/>
      <c r="K98" s="34"/>
    </row>
    <row r="99" spans="1:11" x14ac:dyDescent="0.3">
      <c r="A99" s="48" t="s">
        <v>115</v>
      </c>
      <c r="B99" s="33"/>
      <c r="C99" s="33"/>
      <c r="D99" s="33"/>
      <c r="E99" s="33"/>
      <c r="F99" s="33"/>
      <c r="G99" s="33"/>
      <c r="H99" s="8">
        <f>Sheet5!H101</f>
        <v>175</v>
      </c>
      <c r="I99" s="33" t="s">
        <v>37</v>
      </c>
      <c r="J99" s="33"/>
      <c r="K99" s="34"/>
    </row>
    <row r="100" spans="1:11" x14ac:dyDescent="0.3">
      <c r="A100" s="48" t="s">
        <v>116</v>
      </c>
      <c r="B100" s="33"/>
      <c r="C100" s="33"/>
      <c r="D100" s="33"/>
      <c r="E100" s="33"/>
      <c r="F100" s="33"/>
      <c r="G100" s="33"/>
      <c r="H100" s="8">
        <f>Sheet5!H102</f>
        <v>225</v>
      </c>
      <c r="I100" s="33" t="s">
        <v>37</v>
      </c>
      <c r="J100" s="33"/>
      <c r="K100" s="34"/>
    </row>
    <row r="101" spans="1:11" x14ac:dyDescent="0.3">
      <c r="A101" s="48" t="s">
        <v>117</v>
      </c>
      <c r="B101" s="33"/>
      <c r="C101" s="33"/>
      <c r="D101" s="33"/>
      <c r="E101" s="33"/>
      <c r="F101" s="33"/>
      <c r="G101" s="33"/>
      <c r="H101" s="8">
        <f>Sheet5!H103</f>
        <v>10</v>
      </c>
      <c r="I101" s="33" t="s">
        <v>37</v>
      </c>
      <c r="J101" s="33"/>
      <c r="K101" s="34"/>
    </row>
    <row r="102" spans="1:11" x14ac:dyDescent="0.3">
      <c r="A102" s="48" t="s">
        <v>118</v>
      </c>
      <c r="B102" s="33"/>
      <c r="C102" s="33"/>
      <c r="D102" s="33"/>
      <c r="E102" s="33"/>
      <c r="F102" s="33"/>
      <c r="G102" s="33"/>
      <c r="H102" s="8">
        <f>Sheet5!H104</f>
        <v>5</v>
      </c>
      <c r="I102" s="33" t="s">
        <v>37</v>
      </c>
      <c r="J102" s="33"/>
      <c r="K102" s="34"/>
    </row>
    <row r="103" spans="1:11" x14ac:dyDescent="0.3">
      <c r="A103" s="48" t="s">
        <v>119</v>
      </c>
      <c r="B103" s="33"/>
      <c r="C103" s="33"/>
      <c r="D103" s="33"/>
      <c r="E103" s="33"/>
      <c r="F103" s="33"/>
      <c r="G103" s="33"/>
      <c r="H103" s="8">
        <f>Sheet5!H105</f>
        <v>150</v>
      </c>
      <c r="I103" s="33" t="s">
        <v>37</v>
      </c>
      <c r="J103" s="33"/>
      <c r="K103" s="34"/>
    </row>
    <row r="104" spans="1:11" ht="15" thickBot="1" x14ac:dyDescent="0.35">
      <c r="A104" s="27" t="s">
        <v>120</v>
      </c>
      <c r="B104" s="28"/>
      <c r="C104" s="28"/>
      <c r="D104" s="28"/>
      <c r="E104" s="28"/>
      <c r="F104" s="28"/>
      <c r="G104" s="28"/>
      <c r="H104" s="8">
        <f>Sheet5!H106</f>
        <v>275</v>
      </c>
      <c r="I104" s="28" t="s">
        <v>37</v>
      </c>
      <c r="J104" s="28"/>
      <c r="K104" s="29"/>
    </row>
    <row r="105" spans="1:11" ht="15" thickBot="1" x14ac:dyDescent="0.35">
      <c r="A105" s="66" t="s">
        <v>121</v>
      </c>
      <c r="B105" s="67"/>
      <c r="C105" s="67"/>
      <c r="D105" s="67"/>
      <c r="E105" s="67"/>
      <c r="F105" s="67"/>
      <c r="G105" s="67"/>
      <c r="H105" s="67"/>
      <c r="I105" s="67"/>
      <c r="J105" s="67"/>
      <c r="K105" s="68"/>
    </row>
    <row r="106" spans="1:11" x14ac:dyDescent="0.3">
      <c r="A106" s="52" t="s">
        <v>122</v>
      </c>
      <c r="B106" s="53"/>
      <c r="C106" s="53"/>
      <c r="D106" s="53"/>
      <c r="E106" s="53"/>
      <c r="F106" s="53"/>
      <c r="G106" s="53"/>
      <c r="H106" s="8">
        <f>Sheet5!H108</f>
        <v>500</v>
      </c>
      <c r="I106" s="53" t="s">
        <v>37</v>
      </c>
      <c r="J106" s="53"/>
      <c r="K106" s="54"/>
    </row>
    <row r="107" spans="1:11" x14ac:dyDescent="0.3">
      <c r="A107" s="48" t="s">
        <v>123</v>
      </c>
      <c r="B107" s="33"/>
      <c r="C107" s="33"/>
      <c r="D107" s="33"/>
      <c r="E107" s="33"/>
      <c r="F107" s="33"/>
      <c r="G107" s="33"/>
      <c r="H107" s="8">
        <f>Sheet5!H109</f>
        <v>75</v>
      </c>
      <c r="I107" s="33" t="s">
        <v>124</v>
      </c>
      <c r="J107" s="33"/>
      <c r="K107" s="34"/>
    </row>
    <row r="108" spans="1:11" x14ac:dyDescent="0.3">
      <c r="A108" s="48" t="s">
        <v>125</v>
      </c>
      <c r="B108" s="33"/>
      <c r="C108" s="33"/>
      <c r="D108" s="33"/>
      <c r="E108" s="33"/>
      <c r="F108" s="33"/>
      <c r="G108" s="33"/>
      <c r="H108" s="8">
        <f>Sheet5!H110</f>
        <v>85</v>
      </c>
      <c r="I108" s="33" t="s">
        <v>37</v>
      </c>
      <c r="J108" s="33"/>
      <c r="K108" s="34"/>
    </row>
    <row r="109" spans="1:11" x14ac:dyDescent="0.3">
      <c r="A109" s="48" t="s">
        <v>126</v>
      </c>
      <c r="B109" s="33"/>
      <c r="C109" s="33"/>
      <c r="D109" s="33"/>
      <c r="E109" s="33"/>
      <c r="F109" s="33"/>
      <c r="G109" s="33"/>
      <c r="H109" s="8">
        <f>Sheet5!H111</f>
        <v>40</v>
      </c>
      <c r="I109" s="33" t="s">
        <v>37</v>
      </c>
      <c r="J109" s="33"/>
      <c r="K109" s="34"/>
    </row>
    <row r="110" spans="1:11" x14ac:dyDescent="0.3">
      <c r="A110" s="48" t="s">
        <v>127</v>
      </c>
      <c r="B110" s="33"/>
      <c r="C110" s="33"/>
      <c r="D110" s="33"/>
      <c r="E110" s="33"/>
      <c r="F110" s="33"/>
      <c r="G110" s="33"/>
      <c r="H110" s="8">
        <v>250</v>
      </c>
      <c r="I110" s="33" t="s">
        <v>17</v>
      </c>
      <c r="J110" s="33"/>
      <c r="K110" s="34"/>
    </row>
    <row r="111" spans="1:11" x14ac:dyDescent="0.3">
      <c r="A111" s="48" t="s">
        <v>128</v>
      </c>
      <c r="B111" s="33"/>
      <c r="C111" s="33"/>
      <c r="D111" s="33"/>
      <c r="E111" s="33"/>
      <c r="F111" s="33"/>
      <c r="G111" s="33"/>
      <c r="H111" s="8">
        <v>120</v>
      </c>
      <c r="I111" s="33" t="s">
        <v>124</v>
      </c>
      <c r="J111" s="33"/>
      <c r="K111" s="34"/>
    </row>
    <row r="112" spans="1:11" x14ac:dyDescent="0.3">
      <c r="A112" s="48" t="s">
        <v>129</v>
      </c>
      <c r="B112" s="33"/>
      <c r="C112" s="33"/>
      <c r="D112" s="33"/>
      <c r="E112" s="33"/>
      <c r="F112" s="33"/>
      <c r="G112" s="33"/>
      <c r="H112" s="8">
        <f>Sheet5!H114</f>
        <v>190</v>
      </c>
      <c r="I112" s="33" t="s">
        <v>37</v>
      </c>
      <c r="J112" s="33"/>
      <c r="K112" s="34"/>
    </row>
    <row r="113" spans="1:11" x14ac:dyDescent="0.3">
      <c r="A113" s="48" t="s">
        <v>130</v>
      </c>
      <c r="B113" s="33"/>
      <c r="C113" s="33"/>
      <c r="D113" s="33"/>
      <c r="E113" s="33"/>
      <c r="F113" s="33"/>
      <c r="G113" s="33"/>
      <c r="H113" s="8">
        <f>Sheet5!H115</f>
        <v>1000</v>
      </c>
      <c r="I113" s="33" t="s">
        <v>37</v>
      </c>
      <c r="J113" s="33"/>
      <c r="K113" s="34"/>
    </row>
    <row r="114" spans="1:11" ht="15" thickBot="1" x14ac:dyDescent="0.35">
      <c r="A114" s="27" t="s">
        <v>131</v>
      </c>
      <c r="B114" s="28"/>
      <c r="C114" s="28"/>
      <c r="D114" s="28"/>
      <c r="E114" s="28"/>
      <c r="F114" s="28"/>
      <c r="G114" s="28"/>
      <c r="H114" s="8">
        <f>Sheet5!H116</f>
        <v>160</v>
      </c>
      <c r="I114" s="28" t="s">
        <v>37</v>
      </c>
      <c r="J114" s="28"/>
      <c r="K114" s="29"/>
    </row>
    <row r="115" spans="1:11" ht="15" thickBot="1" x14ac:dyDescent="0.35">
      <c r="A115" s="66" t="s">
        <v>132</v>
      </c>
      <c r="B115" s="67"/>
      <c r="C115" s="67"/>
      <c r="D115" s="67"/>
      <c r="E115" s="67"/>
      <c r="F115" s="67"/>
      <c r="G115" s="67"/>
      <c r="H115" s="67"/>
      <c r="I115" s="67"/>
      <c r="J115" s="67"/>
      <c r="K115" s="68"/>
    </row>
    <row r="116" spans="1:11" x14ac:dyDescent="0.3">
      <c r="A116" s="52" t="s">
        <v>133</v>
      </c>
      <c r="B116" s="53"/>
      <c r="C116" s="53"/>
      <c r="D116" s="53"/>
      <c r="E116" s="53"/>
      <c r="F116" s="53"/>
      <c r="G116" s="53"/>
      <c r="H116" s="8">
        <f>Sheet5!H118</f>
        <v>50</v>
      </c>
      <c r="I116" s="53" t="s">
        <v>37</v>
      </c>
      <c r="J116" s="53"/>
      <c r="K116" s="54"/>
    </row>
    <row r="117" spans="1:11" x14ac:dyDescent="0.3">
      <c r="A117" s="48" t="s">
        <v>134</v>
      </c>
      <c r="B117" s="33"/>
      <c r="C117" s="33"/>
      <c r="D117" s="33"/>
      <c r="E117" s="33"/>
      <c r="F117" s="33"/>
      <c r="G117" s="33"/>
      <c r="H117" s="8">
        <v>325</v>
      </c>
      <c r="I117" s="33" t="s">
        <v>37</v>
      </c>
      <c r="J117" s="33"/>
      <c r="K117" s="34"/>
    </row>
    <row r="118" spans="1:11" x14ac:dyDescent="0.3">
      <c r="A118" s="48" t="s">
        <v>135</v>
      </c>
      <c r="B118" s="33"/>
      <c r="C118" s="33"/>
      <c r="D118" s="33"/>
      <c r="E118" s="33"/>
      <c r="F118" s="33"/>
      <c r="G118" s="33"/>
      <c r="H118" s="8">
        <v>325</v>
      </c>
      <c r="I118" s="33" t="s">
        <v>37</v>
      </c>
      <c r="J118" s="33"/>
      <c r="K118" s="34"/>
    </row>
    <row r="119" spans="1:11" x14ac:dyDescent="0.3">
      <c r="A119" s="48" t="s">
        <v>136</v>
      </c>
      <c r="B119" s="33"/>
      <c r="C119" s="33"/>
      <c r="D119" s="33"/>
      <c r="E119" s="33"/>
      <c r="F119" s="33"/>
      <c r="G119" s="33"/>
      <c r="H119" s="8">
        <f>Sheet5!H121</f>
        <v>50</v>
      </c>
      <c r="I119" s="33" t="s">
        <v>137</v>
      </c>
      <c r="J119" s="33"/>
      <c r="K119" s="34"/>
    </row>
    <row r="120" spans="1:11" x14ac:dyDescent="0.3">
      <c r="A120" s="48" t="s">
        <v>138</v>
      </c>
      <c r="B120" s="33"/>
      <c r="C120" s="33"/>
      <c r="D120" s="33"/>
      <c r="E120" s="33"/>
      <c r="F120" s="33"/>
      <c r="G120" s="33"/>
      <c r="H120" s="8">
        <f>Sheet5!H122</f>
        <v>50</v>
      </c>
      <c r="I120" s="33" t="s">
        <v>37</v>
      </c>
      <c r="J120" s="33"/>
      <c r="K120" s="34"/>
    </row>
    <row r="121" spans="1:11" x14ac:dyDescent="0.3">
      <c r="A121" s="48" t="s">
        <v>139</v>
      </c>
      <c r="B121" s="33"/>
      <c r="C121" s="33"/>
      <c r="D121" s="33"/>
      <c r="E121" s="33"/>
      <c r="F121" s="33"/>
      <c r="G121" s="33"/>
      <c r="H121" s="8">
        <f>Sheet5!H123</f>
        <v>175</v>
      </c>
      <c r="I121" s="33" t="s">
        <v>37</v>
      </c>
      <c r="J121" s="33"/>
      <c r="K121" s="34"/>
    </row>
    <row r="122" spans="1:11" ht="15" customHeight="1" x14ac:dyDescent="0.3">
      <c r="A122" s="48" t="s">
        <v>140</v>
      </c>
      <c r="B122" s="33"/>
      <c r="C122" s="33"/>
      <c r="D122" s="33"/>
      <c r="E122" s="33"/>
      <c r="F122" s="33"/>
      <c r="G122" s="33"/>
      <c r="H122" s="8" t="str">
        <f>Sheet5!H124</f>
        <v>Cost + 28% Margin</v>
      </c>
      <c r="I122" s="33" t="s">
        <v>107</v>
      </c>
      <c r="J122" s="33"/>
      <c r="K122" s="34"/>
    </row>
    <row r="123" spans="1:11" x14ac:dyDescent="0.3">
      <c r="A123" s="48" t="s">
        <v>141</v>
      </c>
      <c r="B123" s="33"/>
      <c r="C123" s="33"/>
      <c r="D123" s="33"/>
      <c r="E123" s="33"/>
      <c r="F123" s="33"/>
      <c r="G123" s="33"/>
      <c r="H123" s="8">
        <f>Sheet5!H125</f>
        <v>250</v>
      </c>
      <c r="I123" s="33" t="s">
        <v>37</v>
      </c>
      <c r="J123" s="33"/>
      <c r="K123" s="34"/>
    </row>
    <row r="124" spans="1:11" x14ac:dyDescent="0.3">
      <c r="A124" s="48" t="s">
        <v>142</v>
      </c>
      <c r="B124" s="33"/>
      <c r="C124" s="33"/>
      <c r="D124" s="33"/>
      <c r="E124" s="33"/>
      <c r="F124" s="33"/>
      <c r="G124" s="33"/>
      <c r="H124" s="8">
        <f>Sheet5!H126</f>
        <v>20</v>
      </c>
      <c r="I124" s="33" t="s">
        <v>37</v>
      </c>
      <c r="J124" s="33"/>
      <c r="K124" s="34"/>
    </row>
    <row r="125" spans="1:11" x14ac:dyDescent="0.3">
      <c r="A125" s="48" t="s">
        <v>143</v>
      </c>
      <c r="B125" s="33"/>
      <c r="C125" s="33"/>
      <c r="D125" s="33"/>
      <c r="E125" s="33"/>
      <c r="F125" s="33"/>
      <c r="G125" s="33"/>
      <c r="H125" s="8">
        <f>Sheet5!H127</f>
        <v>35</v>
      </c>
      <c r="I125" s="33" t="s">
        <v>37</v>
      </c>
      <c r="J125" s="33"/>
      <c r="K125" s="34"/>
    </row>
    <row r="126" spans="1:11" x14ac:dyDescent="0.3">
      <c r="A126" s="48" t="s">
        <v>144</v>
      </c>
      <c r="B126" s="33"/>
      <c r="C126" s="33"/>
      <c r="D126" s="33"/>
      <c r="E126" s="33"/>
      <c r="F126" s="33"/>
      <c r="G126" s="33"/>
      <c r="H126" s="8">
        <f>Sheet5!H128</f>
        <v>45</v>
      </c>
      <c r="I126" s="33" t="s">
        <v>37</v>
      </c>
      <c r="J126" s="33"/>
      <c r="K126" s="34"/>
    </row>
    <row r="127" spans="1:11" x14ac:dyDescent="0.3">
      <c r="A127" s="48" t="s">
        <v>145</v>
      </c>
      <c r="B127" s="33"/>
      <c r="C127" s="33"/>
      <c r="D127" s="33"/>
      <c r="E127" s="33"/>
      <c r="F127" s="33"/>
      <c r="G127" s="33"/>
      <c r="H127" s="8">
        <f>Sheet5!H129</f>
        <v>55</v>
      </c>
      <c r="I127" s="33" t="s">
        <v>37</v>
      </c>
      <c r="J127" s="33"/>
      <c r="K127" s="34"/>
    </row>
    <row r="128" spans="1:11" x14ac:dyDescent="0.3">
      <c r="A128" s="48" t="s">
        <v>146</v>
      </c>
      <c r="B128" s="33"/>
      <c r="C128" s="33"/>
      <c r="D128" s="33"/>
      <c r="E128" s="33"/>
      <c r="F128" s="33"/>
      <c r="G128" s="33"/>
      <c r="H128" s="8">
        <f>Sheet5!H130</f>
        <v>100</v>
      </c>
      <c r="I128" s="33" t="s">
        <v>37</v>
      </c>
      <c r="J128" s="33"/>
      <c r="K128" s="34"/>
    </row>
    <row r="129" spans="1:11" x14ac:dyDescent="0.3">
      <c r="A129" s="48" t="s">
        <v>147</v>
      </c>
      <c r="B129" s="33"/>
      <c r="C129" s="33"/>
      <c r="D129" s="33"/>
      <c r="E129" s="33"/>
      <c r="F129" s="33"/>
      <c r="G129" s="33"/>
      <c r="H129" s="8">
        <f>Sheet5!H131</f>
        <v>40</v>
      </c>
      <c r="I129" s="33" t="s">
        <v>37</v>
      </c>
      <c r="J129" s="33"/>
      <c r="K129" s="34"/>
    </row>
    <row r="130" spans="1:11" x14ac:dyDescent="0.3">
      <c r="A130" s="48" t="s">
        <v>148</v>
      </c>
      <c r="B130" s="33"/>
      <c r="C130" s="33"/>
      <c r="D130" s="33"/>
      <c r="E130" s="33"/>
      <c r="F130" s="33"/>
      <c r="G130" s="33"/>
      <c r="H130" s="8">
        <f>Sheet5!H132</f>
        <v>65</v>
      </c>
      <c r="I130" s="33" t="s">
        <v>37</v>
      </c>
      <c r="J130" s="33"/>
      <c r="K130" s="34"/>
    </row>
    <row r="131" spans="1:11" x14ac:dyDescent="0.3">
      <c r="A131" s="48" t="s">
        <v>149</v>
      </c>
      <c r="B131" s="33"/>
      <c r="C131" s="33"/>
      <c r="D131" s="33"/>
      <c r="E131" s="33"/>
      <c r="F131" s="33"/>
      <c r="G131" s="33"/>
      <c r="H131" s="8">
        <f>Sheet5!H133</f>
        <v>35</v>
      </c>
      <c r="I131" s="33" t="s">
        <v>37</v>
      </c>
      <c r="J131" s="33"/>
      <c r="K131" s="34"/>
    </row>
    <row r="132" spans="1:11" x14ac:dyDescent="0.3">
      <c r="A132" s="48" t="s">
        <v>150</v>
      </c>
      <c r="B132" s="33"/>
      <c r="C132" s="33"/>
      <c r="D132" s="33"/>
      <c r="E132" s="33"/>
      <c r="F132" s="33"/>
      <c r="G132" s="33"/>
      <c r="H132" s="8">
        <f>Sheet5!H134</f>
        <v>75</v>
      </c>
      <c r="I132" s="33" t="s">
        <v>37</v>
      </c>
      <c r="J132" s="33"/>
      <c r="K132" s="34"/>
    </row>
    <row r="133" spans="1:11" x14ac:dyDescent="0.3">
      <c r="A133" s="48" t="s">
        <v>151</v>
      </c>
      <c r="B133" s="33"/>
      <c r="C133" s="33"/>
      <c r="D133" s="33"/>
      <c r="E133" s="33"/>
      <c r="F133" s="33"/>
      <c r="G133" s="33"/>
      <c r="H133" s="8">
        <f>Sheet5!H135</f>
        <v>325</v>
      </c>
      <c r="I133" s="33" t="s">
        <v>37</v>
      </c>
      <c r="J133" s="33"/>
      <c r="K133" s="34"/>
    </row>
    <row r="134" spans="1:11" ht="21" thickBot="1" x14ac:dyDescent="0.35">
      <c r="A134" s="27" t="s">
        <v>152</v>
      </c>
      <c r="B134" s="28"/>
      <c r="C134" s="28"/>
      <c r="D134" s="28"/>
      <c r="E134" s="28"/>
      <c r="F134" s="28"/>
      <c r="G134" s="28"/>
      <c r="H134" s="8" t="str">
        <f>Sheet5!H136</f>
        <v>Cost + 28% Margin</v>
      </c>
      <c r="I134" s="28" t="s">
        <v>107</v>
      </c>
      <c r="J134" s="28"/>
      <c r="K134" s="29"/>
    </row>
    <row r="135" spans="1:11" ht="15" thickBot="1" x14ac:dyDescent="0.35">
      <c r="A135" s="66" t="s">
        <v>153</v>
      </c>
      <c r="B135" s="67"/>
      <c r="C135" s="67"/>
      <c r="D135" s="67"/>
      <c r="E135" s="67"/>
      <c r="F135" s="67"/>
      <c r="G135" s="67"/>
      <c r="H135" s="67"/>
      <c r="I135" s="67"/>
      <c r="J135" s="67"/>
      <c r="K135" s="68"/>
    </row>
    <row r="136" spans="1:11" x14ac:dyDescent="0.3">
      <c r="A136" s="88" t="s">
        <v>154</v>
      </c>
      <c r="B136" s="60"/>
      <c r="C136" s="60"/>
      <c r="D136" s="60"/>
      <c r="E136" s="60"/>
      <c r="F136" s="60"/>
      <c r="G136" s="60"/>
      <c r="H136" s="13">
        <f>Sheet5!H138</f>
        <v>48</v>
      </c>
      <c r="I136" s="60" t="s">
        <v>45</v>
      </c>
      <c r="J136" s="60"/>
      <c r="K136" s="61"/>
    </row>
    <row r="137" spans="1:11" x14ac:dyDescent="0.3">
      <c r="A137" s="74" t="s">
        <v>155</v>
      </c>
      <c r="B137" s="58"/>
      <c r="C137" s="58"/>
      <c r="D137" s="58"/>
      <c r="E137" s="58"/>
      <c r="F137" s="58"/>
      <c r="G137" s="58"/>
      <c r="H137" s="13">
        <f>Sheet5!H139</f>
        <v>275</v>
      </c>
      <c r="I137" s="58" t="s">
        <v>45</v>
      </c>
      <c r="J137" s="58"/>
      <c r="K137" s="59"/>
    </row>
    <row r="138" spans="1:11" x14ac:dyDescent="0.3">
      <c r="A138" s="74" t="s">
        <v>156</v>
      </c>
      <c r="B138" s="58"/>
      <c r="C138" s="58"/>
      <c r="D138" s="58"/>
      <c r="E138" s="58"/>
      <c r="F138" s="58"/>
      <c r="G138" s="58"/>
      <c r="H138" s="13">
        <f>Sheet5!H140</f>
        <v>80</v>
      </c>
      <c r="I138" s="58" t="s">
        <v>45</v>
      </c>
      <c r="J138" s="58"/>
      <c r="K138" s="59"/>
    </row>
    <row r="139" spans="1:11" x14ac:dyDescent="0.3">
      <c r="A139" s="74" t="s">
        <v>157</v>
      </c>
      <c r="B139" s="58"/>
      <c r="C139" s="58"/>
      <c r="D139" s="58"/>
      <c r="E139" s="58"/>
      <c r="F139" s="58"/>
      <c r="G139" s="58"/>
      <c r="H139" s="13">
        <f>Sheet5!H141</f>
        <v>85</v>
      </c>
      <c r="I139" s="58" t="s">
        <v>45</v>
      </c>
      <c r="J139" s="58"/>
      <c r="K139" s="59"/>
    </row>
    <row r="140" spans="1:11" x14ac:dyDescent="0.3">
      <c r="A140" s="74" t="s">
        <v>158</v>
      </c>
      <c r="B140" s="58"/>
      <c r="C140" s="58"/>
      <c r="D140" s="58"/>
      <c r="E140" s="58"/>
      <c r="F140" s="58"/>
      <c r="G140" s="58"/>
      <c r="H140" s="13">
        <f>Sheet5!H142</f>
        <v>128</v>
      </c>
      <c r="I140" s="58" t="s">
        <v>45</v>
      </c>
      <c r="J140" s="58"/>
      <c r="K140" s="59"/>
    </row>
    <row r="141" spans="1:11" x14ac:dyDescent="0.3">
      <c r="A141" s="74" t="s">
        <v>159</v>
      </c>
      <c r="B141" s="58"/>
      <c r="C141" s="58"/>
      <c r="D141" s="58"/>
      <c r="E141" s="58"/>
      <c r="F141" s="58"/>
      <c r="G141" s="58"/>
      <c r="H141" s="13">
        <f>Sheet5!H143</f>
        <v>475</v>
      </c>
      <c r="I141" s="58" t="s">
        <v>45</v>
      </c>
      <c r="J141" s="58"/>
      <c r="K141" s="59"/>
    </row>
    <row r="142" spans="1:11" x14ac:dyDescent="0.3">
      <c r="A142" s="74" t="s">
        <v>160</v>
      </c>
      <c r="B142" s="58"/>
      <c r="C142" s="58"/>
      <c r="D142" s="58"/>
      <c r="E142" s="58"/>
      <c r="F142" s="58"/>
      <c r="G142" s="58"/>
      <c r="H142" s="13">
        <f>Sheet5!H144</f>
        <v>330</v>
      </c>
      <c r="I142" s="58" t="s">
        <v>45</v>
      </c>
      <c r="J142" s="58"/>
      <c r="K142" s="59"/>
    </row>
    <row r="143" spans="1:11" x14ac:dyDescent="0.3">
      <c r="A143" s="74" t="s">
        <v>161</v>
      </c>
      <c r="B143" s="58"/>
      <c r="C143" s="58"/>
      <c r="D143" s="58"/>
      <c r="E143" s="58"/>
      <c r="F143" s="58"/>
      <c r="G143" s="58"/>
      <c r="H143" s="13">
        <f>Sheet5!H145</f>
        <v>110</v>
      </c>
      <c r="I143" s="58" t="s">
        <v>45</v>
      </c>
      <c r="J143" s="58"/>
      <c r="K143" s="59"/>
    </row>
    <row r="144" spans="1:11" x14ac:dyDescent="0.3">
      <c r="A144" s="74" t="s">
        <v>162</v>
      </c>
      <c r="B144" s="58"/>
      <c r="C144" s="58"/>
      <c r="D144" s="58"/>
      <c r="E144" s="58"/>
      <c r="F144" s="58"/>
      <c r="G144" s="58"/>
      <c r="H144" s="13">
        <f>Sheet5!H146</f>
        <v>100</v>
      </c>
      <c r="I144" s="58" t="s">
        <v>45</v>
      </c>
      <c r="J144" s="58"/>
      <c r="K144" s="59"/>
    </row>
    <row r="145" spans="1:11" x14ac:dyDescent="0.3">
      <c r="A145" s="74" t="s">
        <v>163</v>
      </c>
      <c r="B145" s="58"/>
      <c r="C145" s="58"/>
      <c r="D145" s="58"/>
      <c r="E145" s="58"/>
      <c r="F145" s="58"/>
      <c r="G145" s="58"/>
      <c r="H145" s="13">
        <f>Sheet5!H147</f>
        <v>95</v>
      </c>
      <c r="I145" s="58" t="s">
        <v>45</v>
      </c>
      <c r="J145" s="58"/>
      <c r="K145" s="59"/>
    </row>
    <row r="146" spans="1:11" x14ac:dyDescent="0.3">
      <c r="A146" s="74" t="s">
        <v>164</v>
      </c>
      <c r="B146" s="58"/>
      <c r="C146" s="58"/>
      <c r="D146" s="58"/>
      <c r="E146" s="58"/>
      <c r="F146" s="58"/>
      <c r="G146" s="58"/>
      <c r="H146" s="13">
        <f>Sheet5!H148</f>
        <v>90</v>
      </c>
      <c r="I146" s="58" t="s">
        <v>45</v>
      </c>
      <c r="J146" s="58"/>
      <c r="K146" s="59"/>
    </row>
    <row r="147" spans="1:11" x14ac:dyDescent="0.3">
      <c r="A147" s="74" t="s">
        <v>165</v>
      </c>
      <c r="B147" s="58"/>
      <c r="C147" s="58"/>
      <c r="D147" s="58"/>
      <c r="E147" s="58"/>
      <c r="F147" s="58"/>
      <c r="G147" s="58"/>
      <c r="H147" s="13">
        <f>Sheet5!H149</f>
        <v>35</v>
      </c>
      <c r="I147" s="58" t="s">
        <v>45</v>
      </c>
      <c r="J147" s="58"/>
      <c r="K147" s="59"/>
    </row>
    <row r="148" spans="1:11" x14ac:dyDescent="0.3">
      <c r="A148" s="74" t="s">
        <v>166</v>
      </c>
      <c r="B148" s="58"/>
      <c r="C148" s="58"/>
      <c r="D148" s="58"/>
      <c r="E148" s="58"/>
      <c r="F148" s="58"/>
      <c r="G148" s="58"/>
      <c r="H148" s="13">
        <f>Sheet5!H150</f>
        <v>18</v>
      </c>
      <c r="I148" s="58" t="s">
        <v>45</v>
      </c>
      <c r="J148" s="58"/>
      <c r="K148" s="59"/>
    </row>
    <row r="149" spans="1:11" x14ac:dyDescent="0.3">
      <c r="A149" s="74" t="s">
        <v>167</v>
      </c>
      <c r="B149" s="58"/>
      <c r="C149" s="58"/>
      <c r="D149" s="58"/>
      <c r="E149" s="58"/>
      <c r="F149" s="58"/>
      <c r="G149" s="58"/>
      <c r="H149" s="13">
        <f>Sheet5!H151</f>
        <v>415</v>
      </c>
      <c r="I149" s="58" t="s">
        <v>45</v>
      </c>
      <c r="J149" s="58"/>
      <c r="K149" s="59"/>
    </row>
    <row r="150" spans="1:11" x14ac:dyDescent="0.3">
      <c r="A150" s="74" t="s">
        <v>168</v>
      </c>
      <c r="B150" s="58"/>
      <c r="C150" s="58"/>
      <c r="D150" s="58"/>
      <c r="E150" s="58"/>
      <c r="F150" s="58"/>
      <c r="G150" s="58"/>
      <c r="H150" s="13">
        <f>Sheet5!H152</f>
        <v>450</v>
      </c>
      <c r="I150" s="58" t="s">
        <v>45</v>
      </c>
      <c r="J150" s="58"/>
      <c r="K150" s="59"/>
    </row>
    <row r="151" spans="1:11" x14ac:dyDescent="0.3">
      <c r="A151" s="48" t="s">
        <v>169</v>
      </c>
      <c r="B151" s="33"/>
      <c r="C151" s="33"/>
      <c r="D151" s="33"/>
      <c r="E151" s="33"/>
      <c r="F151" s="33"/>
      <c r="G151" s="33"/>
      <c r="H151" s="13">
        <f>Sheet5!H153</f>
        <v>48</v>
      </c>
      <c r="I151" s="33" t="s">
        <v>37</v>
      </c>
      <c r="J151" s="33"/>
      <c r="K151" s="34"/>
    </row>
    <row r="152" spans="1:11" x14ac:dyDescent="0.3">
      <c r="A152" s="74" t="s">
        <v>170</v>
      </c>
      <c r="B152" s="58"/>
      <c r="C152" s="58"/>
      <c r="D152" s="58"/>
      <c r="E152" s="58"/>
      <c r="F152" s="58"/>
      <c r="G152" s="58"/>
      <c r="H152" s="13">
        <f>Sheet5!H154</f>
        <v>185</v>
      </c>
      <c r="I152" s="58" t="s">
        <v>45</v>
      </c>
      <c r="J152" s="58"/>
      <c r="K152" s="59"/>
    </row>
    <row r="153" spans="1:11" x14ac:dyDescent="0.3">
      <c r="A153" s="74" t="s">
        <v>171</v>
      </c>
      <c r="B153" s="58"/>
      <c r="C153" s="58"/>
      <c r="D153" s="58"/>
      <c r="E153" s="58"/>
      <c r="F153" s="58"/>
      <c r="G153" s="58"/>
      <c r="H153" s="13">
        <f>Sheet5!H155</f>
        <v>112</v>
      </c>
      <c r="I153" s="58" t="s">
        <v>45</v>
      </c>
      <c r="J153" s="58"/>
      <c r="K153" s="59"/>
    </row>
    <row r="154" spans="1:11" x14ac:dyDescent="0.3">
      <c r="A154" s="48" t="s">
        <v>172</v>
      </c>
      <c r="B154" s="33"/>
      <c r="C154" s="33"/>
      <c r="D154" s="33"/>
      <c r="E154" s="33"/>
      <c r="F154" s="33"/>
      <c r="G154" s="33"/>
      <c r="H154" s="13">
        <f>Sheet5!H156</f>
        <v>58</v>
      </c>
      <c r="I154" s="33" t="s">
        <v>37</v>
      </c>
      <c r="J154" s="33"/>
      <c r="K154" s="34"/>
    </row>
    <row r="155" spans="1:11" x14ac:dyDescent="0.3">
      <c r="A155" s="48" t="s">
        <v>173</v>
      </c>
      <c r="B155" s="33"/>
      <c r="C155" s="33"/>
      <c r="D155" s="33"/>
      <c r="E155" s="33"/>
      <c r="F155" s="33"/>
      <c r="G155" s="33"/>
      <c r="H155" s="13">
        <f>Sheet5!H157</f>
        <v>15</v>
      </c>
      <c r="I155" s="33" t="s">
        <v>37</v>
      </c>
      <c r="J155" s="33"/>
      <c r="K155" s="34"/>
    </row>
    <row r="156" spans="1:11" x14ac:dyDescent="0.3">
      <c r="A156" s="48" t="s">
        <v>174</v>
      </c>
      <c r="B156" s="33"/>
      <c r="C156" s="33"/>
      <c r="D156" s="33"/>
      <c r="E156" s="33"/>
      <c r="F156" s="33"/>
      <c r="G156" s="33"/>
      <c r="H156" s="13">
        <f>Sheet5!H158</f>
        <v>70</v>
      </c>
      <c r="I156" s="33" t="s">
        <v>45</v>
      </c>
      <c r="J156" s="33"/>
      <c r="K156" s="34"/>
    </row>
    <row r="157" spans="1:11" x14ac:dyDescent="0.3">
      <c r="A157" s="48" t="s">
        <v>175</v>
      </c>
      <c r="B157" s="33"/>
      <c r="C157" s="33"/>
      <c r="D157" s="33"/>
      <c r="E157" s="33"/>
      <c r="F157" s="33"/>
      <c r="G157" s="33"/>
      <c r="H157" s="13">
        <f>Sheet5!H159</f>
        <v>1.75</v>
      </c>
      <c r="I157" s="33" t="s">
        <v>45</v>
      </c>
      <c r="J157" s="33"/>
      <c r="K157" s="34"/>
    </row>
    <row r="158" spans="1:11" ht="15" thickBot="1" x14ac:dyDescent="0.35">
      <c r="A158" s="27" t="s">
        <v>176</v>
      </c>
      <c r="B158" s="28"/>
      <c r="C158" s="28"/>
      <c r="D158" s="28"/>
      <c r="E158" s="28"/>
      <c r="F158" s="28"/>
      <c r="G158" s="28"/>
      <c r="H158" s="13">
        <f>Sheet5!H160</f>
        <v>50</v>
      </c>
      <c r="I158" s="28" t="s">
        <v>45</v>
      </c>
      <c r="J158" s="28"/>
      <c r="K158" s="29"/>
    </row>
    <row r="159" spans="1:11" ht="15" thickBot="1" x14ac:dyDescent="0.35">
      <c r="A159" s="66" t="s">
        <v>177</v>
      </c>
      <c r="B159" s="67"/>
      <c r="C159" s="67"/>
      <c r="D159" s="67"/>
      <c r="E159" s="67"/>
      <c r="F159" s="67"/>
      <c r="G159" s="67"/>
      <c r="H159" s="67"/>
      <c r="I159" s="67"/>
      <c r="J159" s="67"/>
      <c r="K159" s="68"/>
    </row>
    <row r="160" spans="1:11" x14ac:dyDescent="0.3">
      <c r="A160" s="52" t="s">
        <v>178</v>
      </c>
      <c r="B160" s="53"/>
      <c r="C160" s="53"/>
      <c r="D160" s="53"/>
      <c r="E160" s="53"/>
      <c r="F160" s="53"/>
      <c r="G160" s="53"/>
      <c r="H160" s="8">
        <f>Sheet5!H162</f>
        <v>25</v>
      </c>
      <c r="I160" s="53" t="s">
        <v>45</v>
      </c>
      <c r="J160" s="53"/>
      <c r="K160" s="54"/>
    </row>
    <row r="161" spans="1:11" x14ac:dyDescent="0.3">
      <c r="A161" s="48" t="s">
        <v>179</v>
      </c>
      <c r="B161" s="33"/>
      <c r="C161" s="33"/>
      <c r="D161" s="33"/>
      <c r="E161" s="33"/>
      <c r="F161" s="33"/>
      <c r="G161" s="33"/>
      <c r="H161" s="8">
        <f>Sheet5!H163</f>
        <v>40</v>
      </c>
      <c r="I161" s="33" t="s">
        <v>45</v>
      </c>
      <c r="J161" s="33"/>
      <c r="K161" s="34"/>
    </row>
    <row r="162" spans="1:11" x14ac:dyDescent="0.3">
      <c r="A162" s="48" t="s">
        <v>180</v>
      </c>
      <c r="B162" s="33"/>
      <c r="C162" s="33"/>
      <c r="D162" s="33"/>
      <c r="E162" s="33"/>
      <c r="F162" s="33"/>
      <c r="G162" s="33"/>
      <c r="H162" s="8">
        <f>Sheet5!H164</f>
        <v>18.5</v>
      </c>
      <c r="I162" s="33" t="s">
        <v>45</v>
      </c>
      <c r="J162" s="33"/>
      <c r="K162" s="34"/>
    </row>
    <row r="163" spans="1:11" x14ac:dyDescent="0.3">
      <c r="A163" s="48" t="s">
        <v>181</v>
      </c>
      <c r="B163" s="33"/>
      <c r="C163" s="33"/>
      <c r="D163" s="33"/>
      <c r="E163" s="33"/>
      <c r="F163" s="33"/>
      <c r="G163" s="33"/>
      <c r="H163" s="8">
        <f>Sheet5!H165</f>
        <v>200</v>
      </c>
      <c r="I163" s="33" t="s">
        <v>45</v>
      </c>
      <c r="J163" s="33"/>
      <c r="K163" s="34"/>
    </row>
    <row r="164" spans="1:11" x14ac:dyDescent="0.3">
      <c r="A164" s="48" t="s">
        <v>182</v>
      </c>
      <c r="B164" s="33"/>
      <c r="C164" s="33"/>
      <c r="D164" s="33"/>
      <c r="E164" s="33"/>
      <c r="F164" s="33"/>
      <c r="G164" s="33"/>
      <c r="H164" s="8">
        <f>Sheet5!H166</f>
        <v>160</v>
      </c>
      <c r="I164" s="33" t="s">
        <v>37</v>
      </c>
      <c r="J164" s="33"/>
      <c r="K164" s="34"/>
    </row>
    <row r="165" spans="1:11" ht="15" thickBot="1" x14ac:dyDescent="0.35">
      <c r="A165" s="27" t="s">
        <v>183</v>
      </c>
      <c r="B165" s="28"/>
      <c r="C165" s="28"/>
      <c r="D165" s="28"/>
      <c r="E165" s="28"/>
      <c r="F165" s="28"/>
      <c r="G165" s="28"/>
      <c r="H165" s="8">
        <f>Sheet5!H167</f>
        <v>1.45</v>
      </c>
      <c r="I165" s="28" t="s">
        <v>184</v>
      </c>
      <c r="J165" s="28"/>
      <c r="K165" s="29"/>
    </row>
    <row r="166" spans="1:11" ht="15" thickBot="1" x14ac:dyDescent="0.35">
      <c r="A166" s="66" t="s">
        <v>185</v>
      </c>
      <c r="B166" s="67"/>
      <c r="C166" s="67"/>
      <c r="D166" s="67"/>
      <c r="E166" s="67"/>
      <c r="F166" s="67"/>
      <c r="G166" s="67"/>
      <c r="H166" s="67"/>
      <c r="I166" s="67"/>
      <c r="J166" s="67"/>
      <c r="K166" s="68"/>
    </row>
    <row r="167" spans="1:11" x14ac:dyDescent="0.3">
      <c r="A167" s="48" t="s">
        <v>187</v>
      </c>
      <c r="B167" s="33"/>
      <c r="C167" s="33"/>
      <c r="D167" s="33"/>
      <c r="E167" s="33"/>
      <c r="F167" s="33"/>
      <c r="G167" s="33"/>
      <c r="H167" s="9">
        <f>Sheet5!H170</f>
        <v>41.5</v>
      </c>
      <c r="I167" s="33" t="s">
        <v>31</v>
      </c>
      <c r="J167" s="33"/>
      <c r="K167" s="34"/>
    </row>
    <row r="168" spans="1:11" x14ac:dyDescent="0.3">
      <c r="A168" s="48" t="s">
        <v>188</v>
      </c>
      <c r="B168" s="33"/>
      <c r="C168" s="33"/>
      <c r="D168" s="33"/>
      <c r="E168" s="33"/>
      <c r="F168" s="33"/>
      <c r="G168" s="33"/>
      <c r="H168" s="9">
        <f>Sheet5!H171</f>
        <v>82.5</v>
      </c>
      <c r="I168" s="33" t="s">
        <v>31</v>
      </c>
      <c r="J168" s="33"/>
      <c r="K168" s="34"/>
    </row>
    <row r="169" spans="1:11" x14ac:dyDescent="0.3">
      <c r="A169" s="48" t="s">
        <v>189</v>
      </c>
      <c r="B169" s="33"/>
      <c r="C169" s="33"/>
      <c r="D169" s="33"/>
      <c r="E169" s="33"/>
      <c r="F169" s="33"/>
      <c r="G169" s="33"/>
      <c r="H169" s="9">
        <f>Sheet5!H172</f>
        <v>36</v>
      </c>
      <c r="I169" s="33" t="s">
        <v>190</v>
      </c>
      <c r="J169" s="33"/>
      <c r="K169" s="34"/>
    </row>
    <row r="170" spans="1:11" x14ac:dyDescent="0.3">
      <c r="A170" s="48" t="s">
        <v>191</v>
      </c>
      <c r="B170" s="33"/>
      <c r="C170" s="33"/>
      <c r="D170" s="33"/>
      <c r="E170" s="33"/>
      <c r="F170" s="33"/>
      <c r="G170" s="33"/>
      <c r="H170" s="9">
        <f>Sheet5!H173</f>
        <v>95.5</v>
      </c>
      <c r="I170" s="33" t="s">
        <v>190</v>
      </c>
      <c r="J170" s="33"/>
      <c r="K170" s="34"/>
    </row>
    <row r="171" spans="1:11" x14ac:dyDescent="0.3">
      <c r="A171" s="48" t="s">
        <v>192</v>
      </c>
      <c r="B171" s="33"/>
      <c r="C171" s="33"/>
      <c r="D171" s="33"/>
      <c r="E171" s="33"/>
      <c r="F171" s="33"/>
      <c r="G171" s="33"/>
      <c r="H171" s="9">
        <f>Sheet5!H174</f>
        <v>120</v>
      </c>
      <c r="I171" s="33" t="s">
        <v>190</v>
      </c>
      <c r="J171" s="33"/>
      <c r="K171" s="34"/>
    </row>
    <row r="172" spans="1:11" x14ac:dyDescent="0.3">
      <c r="A172" s="48" t="s">
        <v>193</v>
      </c>
      <c r="B172" s="33"/>
      <c r="C172" s="33"/>
      <c r="D172" s="33"/>
      <c r="E172" s="33"/>
      <c r="F172" s="33"/>
      <c r="G172" s="33"/>
      <c r="H172" s="9">
        <f>Sheet5!H175</f>
        <v>142</v>
      </c>
      <c r="I172" s="33" t="s">
        <v>190</v>
      </c>
      <c r="J172" s="33"/>
      <c r="K172" s="34"/>
    </row>
    <row r="173" spans="1:11" x14ac:dyDescent="0.3">
      <c r="A173" s="48" t="s">
        <v>194</v>
      </c>
      <c r="B173" s="33"/>
      <c r="C173" s="33"/>
      <c r="D173" s="33"/>
      <c r="E173" s="33"/>
      <c r="F173" s="33"/>
      <c r="G173" s="33"/>
      <c r="H173" s="9">
        <f>Sheet5!H176</f>
        <v>3100</v>
      </c>
      <c r="I173" s="33" t="s">
        <v>190</v>
      </c>
      <c r="J173" s="33"/>
      <c r="K173" s="34"/>
    </row>
    <row r="174" spans="1:11" x14ac:dyDescent="0.3">
      <c r="A174" s="48" t="s">
        <v>195</v>
      </c>
      <c r="B174" s="33"/>
      <c r="C174" s="33"/>
      <c r="D174" s="33"/>
      <c r="E174" s="33"/>
      <c r="F174" s="33"/>
      <c r="G174" s="33"/>
      <c r="H174" s="9">
        <f>Sheet5!H177</f>
        <v>80</v>
      </c>
      <c r="I174" s="33" t="s">
        <v>190</v>
      </c>
      <c r="J174" s="33"/>
      <c r="K174" s="34"/>
    </row>
    <row r="175" spans="1:11" x14ac:dyDescent="0.3">
      <c r="A175" s="48" t="s">
        <v>196</v>
      </c>
      <c r="B175" s="33"/>
      <c r="C175" s="33"/>
      <c r="D175" s="33"/>
      <c r="E175" s="33"/>
      <c r="F175" s="33"/>
      <c r="G175" s="33"/>
      <c r="H175" s="9">
        <f>Sheet5!H178</f>
        <v>32</v>
      </c>
      <c r="I175" s="33" t="s">
        <v>190</v>
      </c>
      <c r="J175" s="33"/>
      <c r="K175" s="34"/>
    </row>
    <row r="176" spans="1:11" x14ac:dyDescent="0.3">
      <c r="A176" s="48" t="s">
        <v>197</v>
      </c>
      <c r="B176" s="33"/>
      <c r="C176" s="33"/>
      <c r="D176" s="33"/>
      <c r="E176" s="33"/>
      <c r="F176" s="33"/>
      <c r="G176" s="33"/>
      <c r="H176" s="9">
        <f>Sheet5!H179</f>
        <v>90</v>
      </c>
      <c r="I176" s="33" t="s">
        <v>37</v>
      </c>
      <c r="J176" s="33"/>
      <c r="K176" s="34"/>
    </row>
    <row r="177" spans="1:11" x14ac:dyDescent="0.3">
      <c r="A177" s="48" t="s">
        <v>198</v>
      </c>
      <c r="B177" s="33"/>
      <c r="C177" s="33"/>
      <c r="D177" s="33"/>
      <c r="E177" s="33"/>
      <c r="F177" s="33"/>
      <c r="G177" s="33"/>
      <c r="H177" s="9">
        <f>Sheet5!H180</f>
        <v>375</v>
      </c>
      <c r="I177" s="33" t="s">
        <v>37</v>
      </c>
      <c r="J177" s="33"/>
      <c r="K177" s="34"/>
    </row>
    <row r="178" spans="1:11" x14ac:dyDescent="0.3">
      <c r="A178" s="48" t="s">
        <v>199</v>
      </c>
      <c r="B178" s="33"/>
      <c r="C178" s="33"/>
      <c r="D178" s="33"/>
      <c r="E178" s="33"/>
      <c r="F178" s="33"/>
      <c r="G178" s="33"/>
      <c r="H178" s="9">
        <f>Sheet5!H181</f>
        <v>450</v>
      </c>
      <c r="I178" s="33" t="s">
        <v>45</v>
      </c>
      <c r="J178" s="33"/>
      <c r="K178" s="34"/>
    </row>
    <row r="179" spans="1:11" x14ac:dyDescent="0.3">
      <c r="A179" s="48" t="s">
        <v>200</v>
      </c>
      <c r="B179" s="33"/>
      <c r="C179" s="33"/>
      <c r="D179" s="33"/>
      <c r="E179" s="33"/>
      <c r="F179" s="33"/>
      <c r="G179" s="33"/>
      <c r="H179" s="9">
        <f>Sheet5!H182</f>
        <v>45</v>
      </c>
      <c r="I179" s="33" t="s">
        <v>45</v>
      </c>
      <c r="J179" s="33"/>
      <c r="K179" s="34"/>
    </row>
    <row r="180" spans="1:11" x14ac:dyDescent="0.3">
      <c r="A180" s="63" t="s">
        <v>201</v>
      </c>
      <c r="B180" s="64"/>
      <c r="C180" s="64"/>
      <c r="D180" s="64"/>
      <c r="E180" s="64"/>
      <c r="F180" s="64"/>
      <c r="G180" s="64"/>
      <c r="H180" s="64"/>
      <c r="I180" s="64"/>
      <c r="J180" s="64"/>
      <c r="K180" s="65"/>
    </row>
    <row r="181" spans="1:11" x14ac:dyDescent="0.3">
      <c r="A181" s="48" t="s">
        <v>202</v>
      </c>
      <c r="B181" s="33"/>
      <c r="C181" s="33"/>
      <c r="D181" s="33"/>
      <c r="E181" s="33"/>
      <c r="F181" s="33"/>
      <c r="G181" s="33"/>
      <c r="H181" s="9">
        <f>Sheet5!H184</f>
        <v>58</v>
      </c>
      <c r="I181" s="33" t="s">
        <v>203</v>
      </c>
      <c r="J181" s="33"/>
      <c r="K181" s="34"/>
    </row>
    <row r="182" spans="1:11" x14ac:dyDescent="0.3">
      <c r="A182" s="48" t="s">
        <v>204</v>
      </c>
      <c r="B182" s="33"/>
      <c r="C182" s="33"/>
      <c r="D182" s="33"/>
      <c r="E182" s="33"/>
      <c r="F182" s="33"/>
      <c r="G182" s="33"/>
      <c r="H182" s="9">
        <f>Sheet5!H185</f>
        <v>275</v>
      </c>
      <c r="I182" s="33" t="s">
        <v>203</v>
      </c>
      <c r="J182" s="33"/>
      <c r="K182" s="34"/>
    </row>
    <row r="183" spans="1:11" x14ac:dyDescent="0.3">
      <c r="A183" s="48" t="s">
        <v>205</v>
      </c>
      <c r="B183" s="33"/>
      <c r="C183" s="33"/>
      <c r="D183" s="33"/>
      <c r="E183" s="33"/>
      <c r="F183" s="33"/>
      <c r="G183" s="33"/>
      <c r="H183" s="9">
        <f>Sheet5!H186</f>
        <v>18</v>
      </c>
      <c r="I183" s="33" t="s">
        <v>203</v>
      </c>
      <c r="J183" s="33"/>
      <c r="K183" s="34"/>
    </row>
    <row r="184" spans="1:11" x14ac:dyDescent="0.3">
      <c r="A184" s="48" t="s">
        <v>206</v>
      </c>
      <c r="B184" s="33"/>
      <c r="C184" s="33"/>
      <c r="D184" s="33"/>
      <c r="E184" s="33"/>
      <c r="F184" s="33"/>
      <c r="G184" s="33"/>
      <c r="H184" s="9">
        <f>Sheet5!H187</f>
        <v>28</v>
      </c>
      <c r="I184" s="33" t="s">
        <v>203</v>
      </c>
      <c r="J184" s="33"/>
      <c r="K184" s="34"/>
    </row>
    <row r="185" spans="1:11" x14ac:dyDescent="0.3">
      <c r="A185" s="48" t="s">
        <v>207</v>
      </c>
      <c r="B185" s="33"/>
      <c r="C185" s="33"/>
      <c r="D185" s="33"/>
      <c r="E185" s="33"/>
      <c r="F185" s="33"/>
      <c r="G185" s="33"/>
      <c r="H185" s="9">
        <f>Sheet5!H188</f>
        <v>75</v>
      </c>
      <c r="I185" s="33" t="s">
        <v>203</v>
      </c>
      <c r="J185" s="33"/>
      <c r="K185" s="34"/>
    </row>
    <row r="186" spans="1:11" x14ac:dyDescent="0.3">
      <c r="A186" s="48" t="s">
        <v>208</v>
      </c>
      <c r="B186" s="33"/>
      <c r="C186" s="33"/>
      <c r="D186" s="33"/>
      <c r="E186" s="33"/>
      <c r="F186" s="33"/>
      <c r="G186" s="33"/>
      <c r="H186" s="9">
        <f>Sheet5!H189</f>
        <v>50</v>
      </c>
      <c r="I186" s="33" t="s">
        <v>203</v>
      </c>
      <c r="J186" s="33"/>
      <c r="K186" s="34"/>
    </row>
    <row r="187" spans="1:11" x14ac:dyDescent="0.3">
      <c r="A187" s="48" t="s">
        <v>209</v>
      </c>
      <c r="B187" s="33"/>
      <c r="C187" s="33"/>
      <c r="D187" s="33"/>
      <c r="E187" s="33"/>
      <c r="F187" s="33"/>
      <c r="G187" s="33"/>
      <c r="H187" s="9">
        <f>Sheet5!H190</f>
        <v>75</v>
      </c>
      <c r="I187" s="33" t="s">
        <v>203</v>
      </c>
      <c r="J187" s="33"/>
      <c r="K187" s="34"/>
    </row>
    <row r="188" spans="1:11" x14ac:dyDescent="0.3">
      <c r="A188" s="48" t="s">
        <v>210</v>
      </c>
      <c r="B188" s="33"/>
      <c r="C188" s="33"/>
      <c r="D188" s="33"/>
      <c r="E188" s="33"/>
      <c r="F188" s="33"/>
      <c r="G188" s="33"/>
      <c r="H188" s="9">
        <f>Sheet5!H191</f>
        <v>20</v>
      </c>
      <c r="I188" s="33" t="s">
        <v>203</v>
      </c>
      <c r="J188" s="33"/>
      <c r="K188" s="34"/>
    </row>
    <row r="189" spans="1:11" x14ac:dyDescent="0.3">
      <c r="A189" s="48" t="s">
        <v>211</v>
      </c>
      <c r="B189" s="33"/>
      <c r="C189" s="33"/>
      <c r="D189" s="33"/>
      <c r="E189" s="33"/>
      <c r="F189" s="33"/>
      <c r="G189" s="33"/>
      <c r="H189" s="9">
        <f>Sheet5!H192</f>
        <v>20</v>
      </c>
      <c r="I189" s="33" t="s">
        <v>203</v>
      </c>
      <c r="J189" s="33"/>
      <c r="K189" s="34"/>
    </row>
    <row r="190" spans="1:11" x14ac:dyDescent="0.3">
      <c r="A190" s="63" t="s">
        <v>212</v>
      </c>
      <c r="B190" s="64"/>
      <c r="C190" s="64"/>
      <c r="D190" s="64"/>
      <c r="E190" s="64"/>
      <c r="F190" s="64"/>
      <c r="G190" s="64"/>
      <c r="H190" s="64"/>
      <c r="I190" s="64"/>
      <c r="J190" s="64"/>
      <c r="K190" s="65"/>
    </row>
    <row r="191" spans="1:11" x14ac:dyDescent="0.3">
      <c r="A191" s="48" t="s">
        <v>213</v>
      </c>
      <c r="B191" s="33"/>
      <c r="C191" s="33"/>
      <c r="D191" s="33"/>
      <c r="E191" s="33"/>
      <c r="F191" s="33"/>
      <c r="G191" s="33"/>
      <c r="H191" s="9">
        <f>Sheet5!H194</f>
        <v>10</v>
      </c>
      <c r="I191" s="33" t="s">
        <v>203</v>
      </c>
      <c r="J191" s="33"/>
      <c r="K191" s="34"/>
    </row>
    <row r="192" spans="1:11" x14ac:dyDescent="0.3">
      <c r="A192" s="48" t="s">
        <v>214</v>
      </c>
      <c r="B192" s="33"/>
      <c r="C192" s="33"/>
      <c r="D192" s="33"/>
      <c r="E192" s="33"/>
      <c r="F192" s="33"/>
      <c r="G192" s="33"/>
      <c r="H192" s="9">
        <f>Sheet5!H195</f>
        <v>55</v>
      </c>
      <c r="I192" s="33" t="s">
        <v>203</v>
      </c>
      <c r="J192" s="33"/>
      <c r="K192" s="34"/>
    </row>
    <row r="193" spans="1:11" x14ac:dyDescent="0.3">
      <c r="A193" s="48" t="s">
        <v>215</v>
      </c>
      <c r="B193" s="33"/>
      <c r="C193" s="33"/>
      <c r="D193" s="33"/>
      <c r="E193" s="33"/>
      <c r="F193" s="33"/>
      <c r="G193" s="33"/>
      <c r="H193" s="9">
        <f>Sheet5!H196</f>
        <v>3</v>
      </c>
      <c r="I193" s="33" t="s">
        <v>203</v>
      </c>
      <c r="J193" s="33"/>
      <c r="K193" s="34"/>
    </row>
    <row r="194" spans="1:11" x14ac:dyDescent="0.3">
      <c r="A194" s="48" t="s">
        <v>216</v>
      </c>
      <c r="B194" s="33"/>
      <c r="C194" s="33"/>
      <c r="D194" s="33"/>
      <c r="E194" s="33"/>
      <c r="F194" s="33"/>
      <c r="G194" s="33"/>
      <c r="H194" s="9">
        <f>Sheet5!H197</f>
        <v>8</v>
      </c>
      <c r="I194" s="33" t="s">
        <v>203</v>
      </c>
      <c r="J194" s="33"/>
      <c r="K194" s="34"/>
    </row>
    <row r="195" spans="1:11" x14ac:dyDescent="0.3">
      <c r="A195" s="48" t="s">
        <v>217</v>
      </c>
      <c r="B195" s="33"/>
      <c r="C195" s="33"/>
      <c r="D195" s="33"/>
      <c r="E195" s="33"/>
      <c r="F195" s="33"/>
      <c r="G195" s="33"/>
      <c r="H195" s="9">
        <f>Sheet5!H198</f>
        <v>25</v>
      </c>
      <c r="I195" s="33" t="s">
        <v>203</v>
      </c>
      <c r="J195" s="33"/>
      <c r="K195" s="34"/>
    </row>
    <row r="196" spans="1:11" x14ac:dyDescent="0.3">
      <c r="A196" s="48" t="s">
        <v>218</v>
      </c>
      <c r="B196" s="33"/>
      <c r="C196" s="33"/>
      <c r="D196" s="33"/>
      <c r="E196" s="33"/>
      <c r="F196" s="33"/>
      <c r="G196" s="33"/>
      <c r="H196" s="9">
        <f>Sheet5!H199</f>
        <v>65</v>
      </c>
      <c r="I196" s="33" t="s">
        <v>203</v>
      </c>
      <c r="J196" s="33"/>
      <c r="K196" s="34"/>
    </row>
    <row r="197" spans="1:11" x14ac:dyDescent="0.3">
      <c r="A197" s="63" t="s">
        <v>219</v>
      </c>
      <c r="B197" s="64"/>
      <c r="C197" s="64"/>
      <c r="D197" s="64"/>
      <c r="E197" s="64"/>
      <c r="F197" s="64"/>
      <c r="G197" s="64"/>
      <c r="H197" s="64"/>
      <c r="I197" s="64"/>
      <c r="J197" s="64"/>
      <c r="K197" s="65"/>
    </row>
    <row r="198" spans="1:11" x14ac:dyDescent="0.3">
      <c r="A198" s="48" t="s">
        <v>220</v>
      </c>
      <c r="B198" s="33"/>
      <c r="C198" s="33"/>
      <c r="D198" s="33"/>
      <c r="E198" s="33"/>
      <c r="F198" s="33"/>
      <c r="G198" s="33"/>
      <c r="H198" s="9">
        <f>Sheet5!H201</f>
        <v>5</v>
      </c>
      <c r="I198" s="33" t="s">
        <v>45</v>
      </c>
      <c r="J198" s="33"/>
      <c r="K198" s="34"/>
    </row>
    <row r="199" spans="1:11" x14ac:dyDescent="0.3">
      <c r="A199" s="48" t="s">
        <v>221</v>
      </c>
      <c r="B199" s="33"/>
      <c r="C199" s="33"/>
      <c r="D199" s="33"/>
      <c r="E199" s="33"/>
      <c r="F199" s="33"/>
      <c r="G199" s="33"/>
      <c r="H199" s="9">
        <f>Sheet5!H202</f>
        <v>15</v>
      </c>
      <c r="I199" s="33" t="s">
        <v>45</v>
      </c>
      <c r="J199" s="33"/>
      <c r="K199" s="34"/>
    </row>
    <row r="200" spans="1:11" x14ac:dyDescent="0.3">
      <c r="A200" s="48" t="s">
        <v>222</v>
      </c>
      <c r="B200" s="33"/>
      <c r="C200" s="33"/>
      <c r="D200" s="33"/>
      <c r="E200" s="33"/>
      <c r="F200" s="33"/>
      <c r="G200" s="33"/>
      <c r="H200" s="9">
        <f>Sheet5!H203</f>
        <v>8</v>
      </c>
      <c r="I200" s="33" t="s">
        <v>45</v>
      </c>
      <c r="J200" s="33"/>
      <c r="K200" s="34"/>
    </row>
    <row r="201" spans="1:11" x14ac:dyDescent="0.3">
      <c r="A201" s="48" t="s">
        <v>223</v>
      </c>
      <c r="B201" s="33"/>
      <c r="C201" s="33"/>
      <c r="D201" s="33"/>
      <c r="E201" s="33"/>
      <c r="F201" s="33"/>
      <c r="G201" s="33"/>
      <c r="H201" s="9">
        <f>Sheet5!H204</f>
        <v>6.5</v>
      </c>
      <c r="I201" s="33" t="s">
        <v>45</v>
      </c>
      <c r="J201" s="33"/>
      <c r="K201" s="34"/>
    </row>
    <row r="202" spans="1:11" x14ac:dyDescent="0.3">
      <c r="A202" s="48" t="s">
        <v>224</v>
      </c>
      <c r="B202" s="33"/>
      <c r="C202" s="33"/>
      <c r="D202" s="33"/>
      <c r="E202" s="33"/>
      <c r="F202" s="33"/>
      <c r="G202" s="33"/>
      <c r="H202" s="9">
        <f>Sheet5!H205</f>
        <v>30</v>
      </c>
      <c r="I202" s="33" t="s">
        <v>37</v>
      </c>
      <c r="J202" s="33"/>
      <c r="K202" s="34"/>
    </row>
    <row r="203" spans="1:11" x14ac:dyDescent="0.3">
      <c r="A203" s="48" t="s">
        <v>225</v>
      </c>
      <c r="B203" s="33"/>
      <c r="C203" s="33"/>
      <c r="D203" s="33"/>
      <c r="E203" s="33"/>
      <c r="F203" s="33"/>
      <c r="G203" s="33"/>
      <c r="H203" s="9">
        <f>Sheet5!H206</f>
        <v>65</v>
      </c>
      <c r="I203" s="33" t="s">
        <v>37</v>
      </c>
      <c r="J203" s="33"/>
      <c r="K203" s="34"/>
    </row>
    <row r="204" spans="1:11" x14ac:dyDescent="0.3">
      <c r="A204" s="48" t="s">
        <v>226</v>
      </c>
      <c r="B204" s="33"/>
      <c r="C204" s="33"/>
      <c r="D204" s="33"/>
      <c r="E204" s="33"/>
      <c r="F204" s="33"/>
      <c r="G204" s="33"/>
      <c r="H204" s="9">
        <v>38</v>
      </c>
      <c r="I204" s="33" t="s">
        <v>203</v>
      </c>
      <c r="J204" s="33"/>
      <c r="K204" s="34"/>
    </row>
    <row r="205" spans="1:11" x14ac:dyDescent="0.3">
      <c r="A205" s="48" t="s">
        <v>227</v>
      </c>
      <c r="B205" s="33"/>
      <c r="C205" s="33"/>
      <c r="D205" s="33"/>
      <c r="E205" s="33"/>
      <c r="F205" s="33"/>
      <c r="G205" s="33"/>
      <c r="H205" s="9">
        <v>55</v>
      </c>
      <c r="I205" s="33" t="s">
        <v>203</v>
      </c>
      <c r="J205" s="33"/>
      <c r="K205" s="34"/>
    </row>
    <row r="206" spans="1:11" x14ac:dyDescent="0.3">
      <c r="A206" s="48" t="s">
        <v>228</v>
      </c>
      <c r="B206" s="33"/>
      <c r="C206" s="33"/>
      <c r="D206" s="33"/>
      <c r="E206" s="33"/>
      <c r="F206" s="33"/>
      <c r="G206" s="33"/>
      <c r="H206" s="9">
        <f>Sheet5!H209</f>
        <v>68</v>
      </c>
      <c r="I206" s="33" t="s">
        <v>203</v>
      </c>
      <c r="J206" s="33"/>
      <c r="K206" s="34"/>
    </row>
    <row r="207" spans="1:11" x14ac:dyDescent="0.3">
      <c r="A207" s="48" t="s">
        <v>229</v>
      </c>
      <c r="B207" s="33"/>
      <c r="C207" s="33"/>
      <c r="D207" s="33"/>
      <c r="E207" s="33"/>
      <c r="F207" s="33"/>
      <c r="G207" s="33"/>
      <c r="H207" s="9">
        <f>Sheet5!H210</f>
        <v>2</v>
      </c>
      <c r="I207" s="33" t="s">
        <v>203</v>
      </c>
      <c r="J207" s="33"/>
      <c r="K207" s="34"/>
    </row>
    <row r="208" spans="1:11" x14ac:dyDescent="0.3">
      <c r="A208" s="63" t="s">
        <v>230</v>
      </c>
      <c r="B208" s="64"/>
      <c r="C208" s="64"/>
      <c r="D208" s="64"/>
      <c r="E208" s="64"/>
      <c r="F208" s="64"/>
      <c r="G208" s="64"/>
      <c r="H208" s="64"/>
      <c r="I208" s="64"/>
      <c r="J208" s="64"/>
      <c r="K208" s="65"/>
    </row>
    <row r="209" spans="1:11" x14ac:dyDescent="0.3">
      <c r="A209" s="48" t="s">
        <v>231</v>
      </c>
      <c r="B209" s="33"/>
      <c r="C209" s="33"/>
      <c r="D209" s="33"/>
      <c r="E209" s="33"/>
      <c r="F209" s="33"/>
      <c r="G209" s="33"/>
      <c r="H209" s="9">
        <f>Sheet5!H212</f>
        <v>25</v>
      </c>
      <c r="I209" s="33" t="s">
        <v>37</v>
      </c>
      <c r="J209" s="33"/>
      <c r="K209" s="34"/>
    </row>
    <row r="210" spans="1:11" x14ac:dyDescent="0.3">
      <c r="A210" s="74" t="s">
        <v>232</v>
      </c>
      <c r="B210" s="58"/>
      <c r="C210" s="58"/>
      <c r="D210" s="58"/>
      <c r="E210" s="58"/>
      <c r="F210" s="58"/>
      <c r="G210" s="58"/>
      <c r="H210" s="9">
        <f>Sheet5!H213</f>
        <v>45</v>
      </c>
      <c r="I210" s="58" t="s">
        <v>37</v>
      </c>
      <c r="J210" s="58"/>
      <c r="K210" s="59"/>
    </row>
    <row r="211" spans="1:11" x14ac:dyDescent="0.3">
      <c r="A211" s="48" t="s">
        <v>233</v>
      </c>
      <c r="B211" s="33"/>
      <c r="C211" s="33"/>
      <c r="D211" s="33"/>
      <c r="E211" s="33"/>
      <c r="F211" s="33"/>
      <c r="G211" s="33"/>
      <c r="H211" s="9">
        <f>Sheet5!H214</f>
        <v>185</v>
      </c>
      <c r="I211" s="33" t="s">
        <v>37</v>
      </c>
      <c r="J211" s="33"/>
      <c r="K211" s="34"/>
    </row>
    <row r="212" spans="1:11" x14ac:dyDescent="0.3">
      <c r="A212" s="74" t="s">
        <v>234</v>
      </c>
      <c r="B212" s="58"/>
      <c r="C212" s="58"/>
      <c r="D212" s="58"/>
      <c r="E212" s="58"/>
      <c r="F212" s="58"/>
      <c r="G212" s="58"/>
      <c r="H212" s="9">
        <f>Sheet5!H215</f>
        <v>55</v>
      </c>
      <c r="I212" s="58" t="s">
        <v>37</v>
      </c>
      <c r="J212" s="58"/>
      <c r="K212" s="59"/>
    </row>
    <row r="213" spans="1:11" ht="20.399999999999999" x14ac:dyDescent="0.3">
      <c r="A213" s="48" t="s">
        <v>235</v>
      </c>
      <c r="B213" s="33"/>
      <c r="C213" s="33"/>
      <c r="D213" s="33"/>
      <c r="E213" s="33"/>
      <c r="F213" s="33"/>
      <c r="G213" s="33"/>
      <c r="H213" s="9" t="str">
        <f>Sheet5!H216</f>
        <v>Cost + 28% Margin</v>
      </c>
      <c r="I213" s="33" t="s">
        <v>107</v>
      </c>
      <c r="J213" s="33"/>
      <c r="K213" s="34"/>
    </row>
    <row r="214" spans="1:11" x14ac:dyDescent="0.3">
      <c r="A214" s="74" t="s">
        <v>236</v>
      </c>
      <c r="B214" s="58"/>
      <c r="C214" s="58"/>
      <c r="D214" s="58"/>
      <c r="E214" s="58"/>
      <c r="F214" s="58"/>
      <c r="G214" s="58"/>
      <c r="H214" s="9">
        <f>Sheet5!H217</f>
        <v>75</v>
      </c>
      <c r="I214" s="58" t="s">
        <v>37</v>
      </c>
      <c r="J214" s="58"/>
      <c r="K214" s="59"/>
    </row>
    <row r="215" spans="1:11" x14ac:dyDescent="0.3">
      <c r="A215" s="74" t="s">
        <v>237</v>
      </c>
      <c r="B215" s="58"/>
      <c r="C215" s="58"/>
      <c r="D215" s="58"/>
      <c r="E215" s="58"/>
      <c r="F215" s="58"/>
      <c r="G215" s="58"/>
      <c r="H215" s="9">
        <f>Sheet5!H218</f>
        <v>160</v>
      </c>
      <c r="I215" s="58" t="s">
        <v>37</v>
      </c>
      <c r="J215" s="58"/>
      <c r="K215" s="59"/>
    </row>
    <row r="216" spans="1:11" x14ac:dyDescent="0.3">
      <c r="A216" s="74" t="s">
        <v>238</v>
      </c>
      <c r="B216" s="58"/>
      <c r="C216" s="58"/>
      <c r="D216" s="58"/>
      <c r="E216" s="58"/>
      <c r="F216" s="58"/>
      <c r="G216" s="58"/>
      <c r="H216" s="9">
        <f>Sheet5!H219</f>
        <v>90</v>
      </c>
      <c r="I216" s="58" t="s">
        <v>45</v>
      </c>
      <c r="J216" s="58"/>
      <c r="K216" s="59"/>
    </row>
    <row r="217" spans="1:11" x14ac:dyDescent="0.3">
      <c r="A217" s="74" t="s">
        <v>239</v>
      </c>
      <c r="B217" s="58"/>
      <c r="C217" s="58"/>
      <c r="D217" s="58"/>
      <c r="E217" s="58"/>
      <c r="F217" s="58"/>
      <c r="G217" s="58"/>
      <c r="H217" s="9">
        <f>Sheet5!H220</f>
        <v>15</v>
      </c>
      <c r="I217" s="58" t="s">
        <v>37</v>
      </c>
      <c r="J217" s="58"/>
      <c r="K217" s="59"/>
    </row>
    <row r="218" spans="1:11" x14ac:dyDescent="0.3">
      <c r="A218" s="74" t="s">
        <v>240</v>
      </c>
      <c r="B218" s="58"/>
      <c r="C218" s="58"/>
      <c r="D218" s="58"/>
      <c r="E218" s="58"/>
      <c r="F218" s="58"/>
      <c r="G218" s="58"/>
      <c r="H218" s="9">
        <f>Sheet5!H221</f>
        <v>200</v>
      </c>
      <c r="I218" s="58" t="s">
        <v>37</v>
      </c>
      <c r="J218" s="58"/>
      <c r="K218" s="59"/>
    </row>
    <row r="219" spans="1:11" x14ac:dyDescent="0.3">
      <c r="A219" s="74" t="s">
        <v>241</v>
      </c>
      <c r="B219" s="58"/>
      <c r="C219" s="58"/>
      <c r="D219" s="58"/>
      <c r="E219" s="58"/>
      <c r="F219" s="58"/>
      <c r="G219" s="58"/>
      <c r="H219" s="9">
        <f>Sheet5!H222</f>
        <v>50</v>
      </c>
      <c r="I219" s="58" t="s">
        <v>37</v>
      </c>
      <c r="J219" s="58"/>
      <c r="K219" s="59"/>
    </row>
    <row r="220" spans="1:11" x14ac:dyDescent="0.3">
      <c r="A220" s="74" t="s">
        <v>242</v>
      </c>
      <c r="B220" s="58"/>
      <c r="C220" s="58"/>
      <c r="D220" s="58"/>
      <c r="E220" s="58"/>
      <c r="F220" s="58"/>
      <c r="G220" s="58"/>
      <c r="H220" s="9">
        <f>Sheet5!H223</f>
        <v>200</v>
      </c>
      <c r="I220" s="58" t="s">
        <v>37</v>
      </c>
      <c r="J220" s="58"/>
      <c r="K220" s="59"/>
    </row>
    <row r="221" spans="1:11" x14ac:dyDescent="0.3">
      <c r="A221" s="74" t="s">
        <v>243</v>
      </c>
      <c r="B221" s="58"/>
      <c r="C221" s="58"/>
      <c r="D221" s="58"/>
      <c r="E221" s="58"/>
      <c r="F221" s="58"/>
      <c r="G221" s="58"/>
      <c r="H221" s="9">
        <f>Sheet5!H224</f>
        <v>15</v>
      </c>
      <c r="I221" s="58" t="s">
        <v>37</v>
      </c>
      <c r="J221" s="58"/>
      <c r="K221" s="59"/>
    </row>
    <row r="222" spans="1:11" x14ac:dyDescent="0.3">
      <c r="A222" s="74" t="s">
        <v>244</v>
      </c>
      <c r="B222" s="58"/>
      <c r="C222" s="58"/>
      <c r="D222" s="58"/>
      <c r="E222" s="58"/>
      <c r="F222" s="58"/>
      <c r="G222" s="58"/>
      <c r="H222" s="9">
        <f>Sheet5!H225</f>
        <v>20</v>
      </c>
      <c r="I222" s="58" t="s">
        <v>37</v>
      </c>
      <c r="J222" s="58"/>
      <c r="K222" s="59"/>
    </row>
    <row r="223" spans="1:11" x14ac:dyDescent="0.3">
      <c r="A223" s="74" t="s">
        <v>245</v>
      </c>
      <c r="B223" s="58"/>
      <c r="C223" s="58"/>
      <c r="D223" s="58"/>
      <c r="E223" s="58"/>
      <c r="F223" s="58"/>
      <c r="G223" s="58"/>
      <c r="H223" s="9">
        <f>Sheet5!H226</f>
        <v>50</v>
      </c>
      <c r="I223" s="58" t="s">
        <v>37</v>
      </c>
      <c r="J223" s="58"/>
      <c r="K223" s="59"/>
    </row>
    <row r="224" spans="1:11" x14ac:dyDescent="0.3">
      <c r="A224" s="74" t="s">
        <v>246</v>
      </c>
      <c r="B224" s="58"/>
      <c r="C224" s="58"/>
      <c r="D224" s="58"/>
      <c r="E224" s="58"/>
      <c r="F224" s="58"/>
      <c r="G224" s="58"/>
      <c r="H224" s="9">
        <f>Sheet5!H227</f>
        <v>500</v>
      </c>
      <c r="I224" s="58" t="s">
        <v>45</v>
      </c>
      <c r="J224" s="58"/>
      <c r="K224" s="59"/>
    </row>
    <row r="225" spans="1:11" x14ac:dyDescent="0.3">
      <c r="A225" s="74" t="s">
        <v>247</v>
      </c>
      <c r="B225" s="58"/>
      <c r="C225" s="58"/>
      <c r="D225" s="58"/>
      <c r="E225" s="58"/>
      <c r="F225" s="58"/>
      <c r="G225" s="58"/>
      <c r="H225" s="9">
        <f>Sheet5!H228</f>
        <v>200</v>
      </c>
      <c r="I225" s="58" t="s">
        <v>37</v>
      </c>
      <c r="J225" s="58"/>
      <c r="K225" s="59"/>
    </row>
    <row r="226" spans="1:11" x14ac:dyDescent="0.3">
      <c r="A226" s="74" t="s">
        <v>248</v>
      </c>
      <c r="B226" s="58"/>
      <c r="C226" s="58"/>
      <c r="D226" s="58"/>
      <c r="E226" s="58"/>
      <c r="F226" s="58"/>
      <c r="G226" s="58"/>
      <c r="H226" s="9">
        <f>Sheet5!H229</f>
        <v>100</v>
      </c>
      <c r="I226" s="58" t="s">
        <v>37</v>
      </c>
      <c r="J226" s="58"/>
      <c r="K226" s="59"/>
    </row>
    <row r="227" spans="1:11" x14ac:dyDescent="0.3">
      <c r="A227" s="63" t="s">
        <v>249</v>
      </c>
      <c r="B227" s="64"/>
      <c r="C227" s="64"/>
      <c r="D227" s="64"/>
      <c r="E227" s="64"/>
      <c r="F227" s="64"/>
      <c r="G227" s="64"/>
      <c r="H227" s="64"/>
      <c r="I227" s="64"/>
      <c r="J227" s="64"/>
      <c r="K227" s="65"/>
    </row>
    <row r="228" spans="1:11" x14ac:dyDescent="0.3">
      <c r="A228" s="48" t="s">
        <v>250</v>
      </c>
      <c r="B228" s="33"/>
      <c r="C228" s="33"/>
      <c r="D228" s="33"/>
      <c r="E228" s="33"/>
      <c r="F228" s="33"/>
      <c r="G228" s="33"/>
      <c r="H228" s="9">
        <f>Sheet5!H231</f>
        <v>150</v>
      </c>
      <c r="I228" s="33" t="s">
        <v>37</v>
      </c>
      <c r="J228" s="33"/>
      <c r="K228" s="34"/>
    </row>
    <row r="229" spans="1:11" x14ac:dyDescent="0.3">
      <c r="A229" s="48" t="s">
        <v>251</v>
      </c>
      <c r="B229" s="33"/>
      <c r="C229" s="33"/>
      <c r="D229" s="33"/>
      <c r="E229" s="33"/>
      <c r="F229" s="33"/>
      <c r="G229" s="33"/>
      <c r="H229" s="9">
        <f>Sheet5!H232</f>
        <v>175</v>
      </c>
      <c r="I229" s="33" t="s">
        <v>37</v>
      </c>
      <c r="J229" s="33"/>
      <c r="K229" s="34"/>
    </row>
    <row r="230" spans="1:11" x14ac:dyDescent="0.3">
      <c r="A230" s="48" t="s">
        <v>252</v>
      </c>
      <c r="B230" s="33"/>
      <c r="C230" s="33"/>
      <c r="D230" s="33"/>
      <c r="E230" s="33"/>
      <c r="F230" s="33"/>
      <c r="G230" s="33"/>
      <c r="H230" s="9">
        <f>Sheet5!H233</f>
        <v>20</v>
      </c>
      <c r="I230" s="33" t="s">
        <v>37</v>
      </c>
      <c r="J230" s="33"/>
      <c r="K230" s="34"/>
    </row>
    <row r="231" spans="1:11" x14ac:dyDescent="0.3">
      <c r="A231" s="48" t="s">
        <v>253</v>
      </c>
      <c r="B231" s="33"/>
      <c r="C231" s="33"/>
      <c r="D231" s="33"/>
      <c r="E231" s="33"/>
      <c r="F231" s="33"/>
      <c r="G231" s="33"/>
      <c r="H231" s="9">
        <f>Sheet5!H234</f>
        <v>225</v>
      </c>
      <c r="I231" s="33" t="s">
        <v>37</v>
      </c>
      <c r="J231" s="33"/>
      <c r="K231" s="34"/>
    </row>
    <row r="232" spans="1:11" x14ac:dyDescent="0.3">
      <c r="A232" s="30" t="s">
        <v>371</v>
      </c>
      <c r="B232" s="31"/>
      <c r="C232" s="31"/>
      <c r="D232" s="31"/>
      <c r="E232" s="31"/>
      <c r="F232" s="31"/>
      <c r="G232" s="32"/>
      <c r="H232" s="9">
        <v>75</v>
      </c>
      <c r="I232" s="33" t="s">
        <v>37</v>
      </c>
      <c r="J232" s="33"/>
      <c r="K232" s="34"/>
    </row>
    <row r="233" spans="1:11" x14ac:dyDescent="0.3">
      <c r="A233" s="48" t="s">
        <v>254</v>
      </c>
      <c r="B233" s="33"/>
      <c r="C233" s="33"/>
      <c r="D233" s="33"/>
      <c r="E233" s="33"/>
      <c r="F233" s="33"/>
      <c r="G233" s="33"/>
      <c r="H233" s="9">
        <f>Sheet5!H235</f>
        <v>55</v>
      </c>
      <c r="I233" s="33" t="s">
        <v>37</v>
      </c>
      <c r="J233" s="33"/>
      <c r="K233" s="34"/>
    </row>
    <row r="234" spans="1:11" ht="15" thickBot="1" x14ac:dyDescent="0.35">
      <c r="A234" s="70" t="s">
        <v>255</v>
      </c>
      <c r="B234" s="71"/>
      <c r="C234" s="71"/>
      <c r="D234" s="71"/>
      <c r="E234" s="71"/>
      <c r="F234" s="71"/>
      <c r="G234" s="71"/>
      <c r="H234" s="71"/>
      <c r="I234" s="71"/>
      <c r="J234" s="71"/>
      <c r="K234" s="72"/>
    </row>
    <row r="235" spans="1:11" x14ac:dyDescent="0.3">
      <c r="A235" s="52" t="s">
        <v>256</v>
      </c>
      <c r="B235" s="53"/>
      <c r="C235" s="53"/>
      <c r="D235" s="53"/>
      <c r="E235" s="53"/>
      <c r="F235" s="53"/>
      <c r="G235" s="53"/>
      <c r="H235" s="8">
        <f>Sheet5!H237</f>
        <v>150</v>
      </c>
      <c r="I235" s="53" t="s">
        <v>37</v>
      </c>
      <c r="J235" s="53"/>
      <c r="K235" s="54"/>
    </row>
    <row r="236" spans="1:11" ht="20.399999999999999" x14ac:dyDescent="0.3">
      <c r="A236" s="48" t="s">
        <v>257</v>
      </c>
      <c r="B236" s="33"/>
      <c r="C236" s="33"/>
      <c r="D236" s="33"/>
      <c r="E236" s="33"/>
      <c r="F236" s="33"/>
      <c r="G236" s="33"/>
      <c r="H236" s="8" t="str">
        <f>Sheet5!H238</f>
        <v>Cost + 28% Margin</v>
      </c>
      <c r="I236" s="33" t="s">
        <v>107</v>
      </c>
      <c r="J236" s="33"/>
      <c r="K236" s="34"/>
    </row>
    <row r="237" spans="1:11" x14ac:dyDescent="0.3">
      <c r="A237" s="48" t="s">
        <v>258</v>
      </c>
      <c r="B237" s="33"/>
      <c r="C237" s="33"/>
      <c r="D237" s="33"/>
      <c r="E237" s="33"/>
      <c r="F237" s="33"/>
      <c r="G237" s="33"/>
      <c r="H237" s="8">
        <f>Sheet5!H239</f>
        <v>190</v>
      </c>
      <c r="I237" s="33" t="s">
        <v>45</v>
      </c>
      <c r="J237" s="33"/>
      <c r="K237" s="34"/>
    </row>
    <row r="238" spans="1:11" x14ac:dyDescent="0.3">
      <c r="A238" s="48" t="s">
        <v>259</v>
      </c>
      <c r="B238" s="33"/>
      <c r="C238" s="33"/>
      <c r="D238" s="33"/>
      <c r="E238" s="33"/>
      <c r="F238" s="33"/>
      <c r="G238" s="33"/>
      <c r="H238" s="8">
        <f>Sheet5!H240</f>
        <v>1350</v>
      </c>
      <c r="I238" s="33" t="s">
        <v>45</v>
      </c>
      <c r="J238" s="33"/>
      <c r="K238" s="34"/>
    </row>
    <row r="239" spans="1:11" x14ac:dyDescent="0.3">
      <c r="A239" s="48" t="s">
        <v>260</v>
      </c>
      <c r="B239" s="33"/>
      <c r="C239" s="33"/>
      <c r="D239" s="33"/>
      <c r="E239" s="33"/>
      <c r="F239" s="33"/>
      <c r="G239" s="33"/>
      <c r="H239" s="8">
        <f>Sheet5!H241</f>
        <v>350</v>
      </c>
      <c r="I239" s="33" t="s">
        <v>45</v>
      </c>
      <c r="J239" s="33"/>
      <c r="K239" s="34"/>
    </row>
    <row r="240" spans="1:11" x14ac:dyDescent="0.3">
      <c r="A240" s="48" t="s">
        <v>261</v>
      </c>
      <c r="B240" s="33"/>
      <c r="C240" s="33"/>
      <c r="D240" s="33"/>
      <c r="E240" s="33"/>
      <c r="F240" s="33"/>
      <c r="G240" s="33"/>
      <c r="H240" s="8">
        <f>Sheet5!H242</f>
        <v>30</v>
      </c>
      <c r="I240" s="33" t="s">
        <v>45</v>
      </c>
      <c r="J240" s="33"/>
      <c r="K240" s="34"/>
    </row>
    <row r="241" spans="1:11" ht="20.399999999999999" x14ac:dyDescent="0.3">
      <c r="A241" s="48" t="s">
        <v>262</v>
      </c>
      <c r="B241" s="33"/>
      <c r="C241" s="33"/>
      <c r="D241" s="33"/>
      <c r="E241" s="33"/>
      <c r="F241" s="33"/>
      <c r="G241" s="33"/>
      <c r="H241" s="8" t="str">
        <f>Sheet5!H243</f>
        <v>Cost + 28% Margin</v>
      </c>
      <c r="I241" s="33" t="s">
        <v>107</v>
      </c>
      <c r="J241" s="33"/>
      <c r="K241" s="34"/>
    </row>
    <row r="242" spans="1:11" x14ac:dyDescent="0.3">
      <c r="A242" s="48" t="s">
        <v>263</v>
      </c>
      <c r="B242" s="33"/>
      <c r="C242" s="33"/>
      <c r="D242" s="33"/>
      <c r="E242" s="33"/>
      <c r="F242" s="33"/>
      <c r="G242" s="33"/>
      <c r="H242" s="8">
        <f>Sheet5!H244</f>
        <v>350</v>
      </c>
      <c r="I242" s="33" t="s">
        <v>45</v>
      </c>
      <c r="J242" s="33"/>
      <c r="K242" s="34"/>
    </row>
    <row r="243" spans="1:11" x14ac:dyDescent="0.3">
      <c r="A243" s="48" t="s">
        <v>264</v>
      </c>
      <c r="B243" s="33"/>
      <c r="C243" s="33"/>
      <c r="D243" s="33"/>
      <c r="E243" s="33"/>
      <c r="F243" s="33"/>
      <c r="G243" s="33"/>
      <c r="H243" s="8">
        <f>Sheet5!H245</f>
        <v>1.75</v>
      </c>
      <c r="I243" s="33" t="s">
        <v>265</v>
      </c>
      <c r="J243" s="33"/>
      <c r="K243" s="34"/>
    </row>
    <row r="244" spans="1:11" ht="20.399999999999999" x14ac:dyDescent="0.3">
      <c r="A244" s="48" t="s">
        <v>266</v>
      </c>
      <c r="B244" s="33"/>
      <c r="C244" s="33"/>
      <c r="D244" s="33"/>
      <c r="E244" s="33"/>
      <c r="F244" s="33"/>
      <c r="G244" s="33"/>
      <c r="H244" s="8" t="str">
        <f>Sheet5!H246</f>
        <v>Cost + 28% Margin</v>
      </c>
      <c r="I244" s="33" t="s">
        <v>107</v>
      </c>
      <c r="J244" s="33"/>
      <c r="K244" s="34"/>
    </row>
    <row r="245" spans="1:11" x14ac:dyDescent="0.3">
      <c r="A245" s="48" t="s">
        <v>267</v>
      </c>
      <c r="B245" s="33"/>
      <c r="C245" s="33"/>
      <c r="D245" s="33"/>
      <c r="E245" s="33"/>
      <c r="F245" s="33"/>
      <c r="G245" s="33"/>
      <c r="H245" s="8">
        <f>Sheet5!H247</f>
        <v>175</v>
      </c>
      <c r="I245" s="33" t="s">
        <v>45</v>
      </c>
      <c r="J245" s="33"/>
      <c r="K245" s="34"/>
    </row>
    <row r="246" spans="1:11" x14ac:dyDescent="0.3">
      <c r="A246" s="48" t="s">
        <v>268</v>
      </c>
      <c r="B246" s="33"/>
      <c r="C246" s="33"/>
      <c r="D246" s="33"/>
      <c r="E246" s="33"/>
      <c r="F246" s="33"/>
      <c r="G246" s="33"/>
      <c r="H246" s="8">
        <f>Sheet5!H248</f>
        <v>200</v>
      </c>
      <c r="I246" s="33" t="s">
        <v>269</v>
      </c>
      <c r="J246" s="33"/>
      <c r="K246" s="34"/>
    </row>
    <row r="247" spans="1:11" x14ac:dyDescent="0.3">
      <c r="A247" s="48" t="s">
        <v>270</v>
      </c>
      <c r="B247" s="33"/>
      <c r="C247" s="33"/>
      <c r="D247" s="33"/>
      <c r="E247" s="33"/>
      <c r="F247" s="33"/>
      <c r="G247" s="33"/>
      <c r="H247" s="8">
        <f>Sheet5!H249</f>
        <v>400</v>
      </c>
      <c r="I247" s="33" t="s">
        <v>45</v>
      </c>
      <c r="J247" s="33"/>
      <c r="K247" s="34"/>
    </row>
    <row r="248" spans="1:11" x14ac:dyDescent="0.3">
      <c r="A248" s="48" t="s">
        <v>271</v>
      </c>
      <c r="B248" s="33"/>
      <c r="C248" s="33"/>
      <c r="D248" s="33"/>
      <c r="E248" s="33"/>
      <c r="F248" s="33"/>
      <c r="G248" s="33"/>
      <c r="H248" s="8">
        <f>Sheet5!H250</f>
        <v>12</v>
      </c>
      <c r="I248" s="33" t="s">
        <v>272</v>
      </c>
      <c r="J248" s="33"/>
      <c r="K248" s="34"/>
    </row>
    <row r="249" spans="1:11" ht="15" thickBot="1" x14ac:dyDescent="0.35">
      <c r="A249" s="27" t="s">
        <v>273</v>
      </c>
      <c r="B249" s="28"/>
      <c r="C249" s="28"/>
      <c r="D249" s="28"/>
      <c r="E249" s="28"/>
      <c r="F249" s="28"/>
      <c r="G249" s="28"/>
      <c r="H249" s="8" t="s">
        <v>364</v>
      </c>
      <c r="I249" s="28" t="s">
        <v>365</v>
      </c>
      <c r="J249" s="28"/>
      <c r="K249" s="29"/>
    </row>
    <row r="250" spans="1:11" ht="15" thickBot="1" x14ac:dyDescent="0.35">
      <c r="A250" s="66" t="s">
        <v>274</v>
      </c>
      <c r="B250" s="67"/>
      <c r="C250" s="67"/>
      <c r="D250" s="67"/>
      <c r="E250" s="67"/>
      <c r="F250" s="67"/>
      <c r="G250" s="67"/>
      <c r="H250" s="67"/>
      <c r="I250" s="67"/>
      <c r="J250" s="67"/>
      <c r="K250" s="68"/>
    </row>
    <row r="251" spans="1:11" x14ac:dyDescent="0.3">
      <c r="A251" s="52" t="s">
        <v>275</v>
      </c>
      <c r="B251" s="53"/>
      <c r="C251" s="53"/>
      <c r="D251" s="53"/>
      <c r="E251" s="53"/>
      <c r="F251" s="53"/>
      <c r="G251" s="53"/>
      <c r="H251" s="8">
        <f>Sheet5!H253</f>
        <v>79.5</v>
      </c>
      <c r="I251" s="53" t="s">
        <v>276</v>
      </c>
      <c r="J251" s="53"/>
      <c r="K251" s="54"/>
    </row>
    <row r="252" spans="1:11" x14ac:dyDescent="0.3">
      <c r="A252" s="48" t="s">
        <v>277</v>
      </c>
      <c r="B252" s="33"/>
      <c r="C252" s="33"/>
      <c r="D252" s="33"/>
      <c r="E252" s="33"/>
      <c r="F252" s="33"/>
      <c r="G252" s="33"/>
      <c r="H252" s="8">
        <f>Sheet5!H254</f>
        <v>84.8</v>
      </c>
      <c r="I252" s="33" t="s">
        <v>276</v>
      </c>
      <c r="J252" s="33"/>
      <c r="K252" s="34"/>
    </row>
    <row r="253" spans="1:11" x14ac:dyDescent="0.3">
      <c r="A253" s="48" t="s">
        <v>278</v>
      </c>
      <c r="B253" s="33"/>
      <c r="C253" s="33"/>
      <c r="D253" s="33"/>
      <c r="E253" s="33"/>
      <c r="F253" s="33"/>
      <c r="G253" s="33"/>
      <c r="H253" s="8">
        <f>Sheet5!H255</f>
        <v>84.8</v>
      </c>
      <c r="I253" s="33" t="s">
        <v>276</v>
      </c>
      <c r="J253" s="33"/>
      <c r="K253" s="34"/>
    </row>
    <row r="254" spans="1:11" x14ac:dyDescent="0.3">
      <c r="A254" s="48" t="s">
        <v>279</v>
      </c>
      <c r="B254" s="33"/>
      <c r="C254" s="33"/>
      <c r="D254" s="33"/>
      <c r="E254" s="33"/>
      <c r="F254" s="33"/>
      <c r="G254" s="33"/>
      <c r="H254" s="8">
        <f>Sheet5!H256</f>
        <v>22</v>
      </c>
      <c r="I254" s="33" t="s">
        <v>280</v>
      </c>
      <c r="J254" s="33"/>
      <c r="K254" s="34"/>
    </row>
    <row r="255" spans="1:11" x14ac:dyDescent="0.3">
      <c r="A255" s="48" t="s">
        <v>281</v>
      </c>
      <c r="B255" s="33"/>
      <c r="C255" s="33"/>
      <c r="D255" s="33"/>
      <c r="E255" s="33"/>
      <c r="F255" s="33"/>
      <c r="G255" s="33"/>
      <c r="H255" s="8">
        <f>Sheet5!H257</f>
        <v>95.4</v>
      </c>
      <c r="I255" s="33" t="s">
        <v>280</v>
      </c>
      <c r="J255" s="33"/>
      <c r="K255" s="34"/>
    </row>
    <row r="256" spans="1:11" x14ac:dyDescent="0.3">
      <c r="A256" s="48" t="s">
        <v>282</v>
      </c>
      <c r="B256" s="33"/>
      <c r="C256" s="33"/>
      <c r="D256" s="33"/>
      <c r="E256" s="33"/>
      <c r="F256" s="33"/>
      <c r="G256" s="33"/>
      <c r="H256" s="8">
        <f>Sheet5!H258</f>
        <v>41.8</v>
      </c>
      <c r="I256" s="33" t="s">
        <v>283</v>
      </c>
      <c r="J256" s="33"/>
      <c r="K256" s="34"/>
    </row>
    <row r="257" spans="1:11" x14ac:dyDescent="0.3">
      <c r="A257" s="48" t="s">
        <v>284</v>
      </c>
      <c r="B257" s="33"/>
      <c r="C257" s="33"/>
      <c r="D257" s="33"/>
      <c r="E257" s="33"/>
      <c r="F257" s="33"/>
      <c r="G257" s="33"/>
      <c r="H257" s="8">
        <f>Sheet5!H259</f>
        <v>73.599999999999994</v>
      </c>
      <c r="I257" s="33" t="s">
        <v>283</v>
      </c>
      <c r="J257" s="33"/>
      <c r="K257" s="34"/>
    </row>
    <row r="258" spans="1:11" x14ac:dyDescent="0.3">
      <c r="A258" s="48" t="s">
        <v>285</v>
      </c>
      <c r="B258" s="33"/>
      <c r="C258" s="33"/>
      <c r="D258" s="33"/>
      <c r="E258" s="33"/>
      <c r="F258" s="33"/>
      <c r="G258" s="33"/>
      <c r="H258" s="8">
        <f>Sheet5!H260</f>
        <v>105.4</v>
      </c>
      <c r="I258" s="33" t="s">
        <v>283</v>
      </c>
      <c r="J258" s="33"/>
      <c r="K258" s="34"/>
    </row>
    <row r="259" spans="1:11" x14ac:dyDescent="0.3">
      <c r="A259" s="48" t="s">
        <v>286</v>
      </c>
      <c r="B259" s="33"/>
      <c r="C259" s="33"/>
      <c r="D259" s="33"/>
      <c r="E259" s="33"/>
      <c r="F259" s="33"/>
      <c r="G259" s="33"/>
      <c r="H259" s="8">
        <f>Sheet5!H261</f>
        <v>120</v>
      </c>
      <c r="I259" s="33" t="s">
        <v>283</v>
      </c>
      <c r="J259" s="33"/>
      <c r="K259" s="34"/>
    </row>
    <row r="260" spans="1:11" x14ac:dyDescent="0.3">
      <c r="A260" s="48" t="s">
        <v>287</v>
      </c>
      <c r="B260" s="33"/>
      <c r="C260" s="33"/>
      <c r="D260" s="33"/>
      <c r="E260" s="33"/>
      <c r="F260" s="33"/>
      <c r="G260" s="33"/>
      <c r="H260" s="8">
        <f>Sheet5!H262</f>
        <v>121.9</v>
      </c>
      <c r="I260" s="33" t="s">
        <v>276</v>
      </c>
      <c r="J260" s="33"/>
      <c r="K260" s="34"/>
    </row>
    <row r="261" spans="1:11" ht="15" thickBot="1" x14ac:dyDescent="0.35">
      <c r="A261" s="27" t="s">
        <v>288</v>
      </c>
      <c r="B261" s="28"/>
      <c r="C261" s="28"/>
      <c r="D261" s="28"/>
      <c r="E261" s="28"/>
      <c r="F261" s="28"/>
      <c r="G261" s="28"/>
      <c r="H261" s="8">
        <f>Sheet5!H263</f>
        <v>125</v>
      </c>
      <c r="I261" s="28" t="s">
        <v>276</v>
      </c>
      <c r="J261" s="28"/>
      <c r="K261" s="29"/>
    </row>
    <row r="262" spans="1:11" ht="15" thickBot="1" x14ac:dyDescent="0.35">
      <c r="A262" s="66" t="s">
        <v>289</v>
      </c>
      <c r="B262" s="67"/>
      <c r="C262" s="67"/>
      <c r="D262" s="67"/>
      <c r="E262" s="67"/>
      <c r="F262" s="67"/>
      <c r="G262" s="67"/>
      <c r="H262" s="67"/>
      <c r="I262" s="67"/>
      <c r="J262" s="67"/>
      <c r="K262" s="68"/>
    </row>
    <row r="263" spans="1:11" x14ac:dyDescent="0.3">
      <c r="A263" s="52" t="s">
        <v>290</v>
      </c>
      <c r="B263" s="53"/>
      <c r="C263" s="53"/>
      <c r="D263" s="53"/>
      <c r="E263" s="53"/>
      <c r="F263" s="53"/>
      <c r="G263" s="53"/>
      <c r="H263" s="8">
        <f>Sheet5!H265</f>
        <v>240</v>
      </c>
      <c r="I263" s="53" t="s">
        <v>265</v>
      </c>
      <c r="J263" s="53"/>
      <c r="K263" s="54"/>
    </row>
    <row r="264" spans="1:11" x14ac:dyDescent="0.3">
      <c r="A264" s="48" t="s">
        <v>291</v>
      </c>
      <c r="B264" s="33"/>
      <c r="C264" s="33"/>
      <c r="D264" s="33"/>
      <c r="E264" s="33"/>
      <c r="F264" s="33"/>
      <c r="G264" s="33"/>
      <c r="H264" s="8">
        <f>Sheet5!H266</f>
        <v>25</v>
      </c>
      <c r="I264" s="33" t="s">
        <v>292</v>
      </c>
      <c r="J264" s="33"/>
      <c r="K264" s="34"/>
    </row>
    <row r="265" spans="1:11" x14ac:dyDescent="0.3">
      <c r="A265" s="48" t="s">
        <v>293</v>
      </c>
      <c r="B265" s="33"/>
      <c r="C265" s="33"/>
      <c r="D265" s="33"/>
      <c r="E265" s="33"/>
      <c r="F265" s="33"/>
      <c r="G265" s="33"/>
      <c r="H265" s="8">
        <f>Sheet5!H267</f>
        <v>9.5</v>
      </c>
      <c r="I265" s="33" t="s">
        <v>265</v>
      </c>
      <c r="J265" s="33"/>
      <c r="K265" s="34"/>
    </row>
    <row r="266" spans="1:11" ht="20.399999999999999" x14ac:dyDescent="0.3">
      <c r="A266" s="48" t="s">
        <v>294</v>
      </c>
      <c r="B266" s="33"/>
      <c r="C266" s="33"/>
      <c r="D266" s="33"/>
      <c r="E266" s="33"/>
      <c r="F266" s="33"/>
      <c r="G266" s="33"/>
      <c r="H266" s="8" t="str">
        <f>Sheet5!H268</f>
        <v>Cost + 28% Margin</v>
      </c>
      <c r="I266" s="33" t="s">
        <v>107</v>
      </c>
      <c r="J266" s="33"/>
      <c r="K266" s="34"/>
    </row>
    <row r="267" spans="1:11" x14ac:dyDescent="0.3">
      <c r="A267" s="48" t="s">
        <v>295</v>
      </c>
      <c r="B267" s="33"/>
      <c r="C267" s="33"/>
      <c r="D267" s="33"/>
      <c r="E267" s="33"/>
      <c r="F267" s="33"/>
      <c r="G267" s="33"/>
      <c r="H267" s="8">
        <f>Sheet5!H269</f>
        <v>85</v>
      </c>
      <c r="I267" s="33" t="s">
        <v>292</v>
      </c>
      <c r="J267" s="33"/>
      <c r="K267" s="34"/>
    </row>
    <row r="268" spans="1:11" x14ac:dyDescent="0.3">
      <c r="A268" s="48" t="s">
        <v>296</v>
      </c>
      <c r="B268" s="33"/>
      <c r="C268" s="33"/>
      <c r="D268" s="33"/>
      <c r="E268" s="33"/>
      <c r="F268" s="33"/>
      <c r="G268" s="33"/>
      <c r="H268" s="8">
        <f>Sheet5!H270</f>
        <v>30</v>
      </c>
      <c r="I268" s="33" t="s">
        <v>265</v>
      </c>
      <c r="J268" s="33"/>
      <c r="K268" s="34"/>
    </row>
    <row r="269" spans="1:11" x14ac:dyDescent="0.3">
      <c r="A269" s="48" t="s">
        <v>297</v>
      </c>
      <c r="B269" s="33"/>
      <c r="C269" s="33"/>
      <c r="D269" s="33"/>
      <c r="E269" s="33"/>
      <c r="F269" s="33"/>
      <c r="G269" s="33"/>
      <c r="H269" s="8">
        <f>Sheet5!H271</f>
        <v>92.5</v>
      </c>
      <c r="I269" s="33" t="s">
        <v>265</v>
      </c>
      <c r="J269" s="33"/>
      <c r="K269" s="34"/>
    </row>
    <row r="270" spans="1:11" x14ac:dyDescent="0.3">
      <c r="A270" s="48" t="s">
        <v>298</v>
      </c>
      <c r="B270" s="33"/>
      <c r="C270" s="33"/>
      <c r="D270" s="33"/>
      <c r="E270" s="33"/>
      <c r="F270" s="33"/>
      <c r="G270" s="33"/>
      <c r="H270" s="8">
        <f>Sheet5!H272</f>
        <v>92.5</v>
      </c>
      <c r="I270" s="33" t="s">
        <v>265</v>
      </c>
      <c r="J270" s="33"/>
      <c r="K270" s="34"/>
    </row>
    <row r="271" spans="1:11" x14ac:dyDescent="0.3">
      <c r="A271" s="48" t="s">
        <v>299</v>
      </c>
      <c r="B271" s="33"/>
      <c r="C271" s="33"/>
      <c r="D271" s="33"/>
      <c r="E271" s="33"/>
      <c r="F271" s="33"/>
      <c r="G271" s="33"/>
      <c r="H271" s="8">
        <f>Sheet5!H273</f>
        <v>3</v>
      </c>
      <c r="I271" s="33" t="s">
        <v>265</v>
      </c>
      <c r="J271" s="33"/>
      <c r="K271" s="34"/>
    </row>
    <row r="272" spans="1:11" x14ac:dyDescent="0.3">
      <c r="A272" s="48" t="s">
        <v>300</v>
      </c>
      <c r="B272" s="33"/>
      <c r="C272" s="33"/>
      <c r="D272" s="33"/>
      <c r="E272" s="33"/>
      <c r="F272" s="33"/>
      <c r="G272" s="33"/>
      <c r="H272" s="8">
        <f>Sheet5!H274</f>
        <v>12.5</v>
      </c>
      <c r="I272" s="33" t="s">
        <v>292</v>
      </c>
      <c r="J272" s="33"/>
      <c r="K272" s="34"/>
    </row>
    <row r="273" spans="1:14" x14ac:dyDescent="0.3">
      <c r="A273" s="48" t="s">
        <v>372</v>
      </c>
      <c r="B273" s="33"/>
      <c r="C273" s="33"/>
      <c r="D273" s="33"/>
      <c r="E273" s="33"/>
      <c r="F273" s="33"/>
      <c r="G273" s="33"/>
      <c r="H273" s="8">
        <f>Sheet5!H275</f>
        <v>420.69</v>
      </c>
      <c r="I273" s="33" t="s">
        <v>265</v>
      </c>
      <c r="J273" s="33"/>
      <c r="K273" s="34"/>
    </row>
    <row r="274" spans="1:14" x14ac:dyDescent="0.3">
      <c r="A274" s="48" t="s">
        <v>302</v>
      </c>
      <c r="B274" s="33"/>
      <c r="C274" s="33"/>
      <c r="D274" s="33"/>
      <c r="E274" s="33"/>
      <c r="F274" s="33"/>
      <c r="G274" s="33"/>
      <c r="H274" s="8">
        <f>Sheet5!H276</f>
        <v>50</v>
      </c>
      <c r="I274" s="33" t="s">
        <v>265</v>
      </c>
      <c r="J274" s="33"/>
      <c r="K274" s="34"/>
    </row>
    <row r="275" spans="1:14" x14ac:dyDescent="0.3">
      <c r="A275" s="48" t="s">
        <v>303</v>
      </c>
      <c r="B275" s="33"/>
      <c r="C275" s="33"/>
      <c r="D275" s="33"/>
      <c r="E275" s="33"/>
      <c r="F275" s="33"/>
      <c r="G275" s="33"/>
      <c r="H275" s="8">
        <v>115</v>
      </c>
      <c r="I275" s="33" t="s">
        <v>265</v>
      </c>
      <c r="J275" s="33"/>
      <c r="K275" s="34"/>
      <c r="N275" s="17"/>
    </row>
    <row r="276" spans="1:14" x14ac:dyDescent="0.3">
      <c r="A276" s="48" t="s">
        <v>304</v>
      </c>
      <c r="B276" s="33"/>
      <c r="C276" s="33"/>
      <c r="D276" s="33"/>
      <c r="E276" s="33"/>
      <c r="F276" s="33"/>
      <c r="G276" s="33"/>
      <c r="H276" s="8">
        <v>75</v>
      </c>
      <c r="I276" s="33" t="s">
        <v>265</v>
      </c>
      <c r="J276" s="33"/>
      <c r="K276" s="34"/>
      <c r="N276" s="17"/>
    </row>
    <row r="277" spans="1:14" x14ac:dyDescent="0.3">
      <c r="A277" s="48" t="s">
        <v>305</v>
      </c>
      <c r="B277" s="33"/>
      <c r="C277" s="33"/>
      <c r="D277" s="33"/>
      <c r="E277" s="33"/>
      <c r="F277" s="33"/>
      <c r="G277" s="33"/>
      <c r="H277" s="8">
        <f>Sheet5!H279</f>
        <v>300</v>
      </c>
      <c r="I277" s="33" t="s">
        <v>306</v>
      </c>
      <c r="J277" s="33"/>
      <c r="K277" s="34"/>
    </row>
    <row r="278" spans="1:14" x14ac:dyDescent="0.3">
      <c r="A278" s="48" t="s">
        <v>307</v>
      </c>
      <c r="B278" s="33"/>
      <c r="C278" s="33"/>
      <c r="D278" s="33"/>
      <c r="E278" s="33"/>
      <c r="F278" s="33"/>
      <c r="G278" s="33"/>
      <c r="H278" s="8">
        <f>Sheet5!H280</f>
        <v>15</v>
      </c>
      <c r="I278" s="33" t="s">
        <v>45</v>
      </c>
      <c r="J278" s="33"/>
      <c r="K278" s="34"/>
    </row>
    <row r="279" spans="1:14" x14ac:dyDescent="0.3">
      <c r="A279" s="48" t="s">
        <v>373</v>
      </c>
      <c r="B279" s="33"/>
      <c r="C279" s="33"/>
      <c r="D279" s="33"/>
      <c r="E279" s="33"/>
      <c r="F279" s="33"/>
      <c r="G279" s="33"/>
      <c r="H279" s="8">
        <v>75</v>
      </c>
      <c r="I279" s="33" t="s">
        <v>265</v>
      </c>
      <c r="J279" s="33"/>
      <c r="K279" s="34"/>
    </row>
    <row r="280" spans="1:14" x14ac:dyDescent="0.3">
      <c r="A280" s="48" t="s">
        <v>309</v>
      </c>
      <c r="B280" s="33"/>
      <c r="C280" s="33"/>
      <c r="D280" s="33"/>
      <c r="E280" s="33"/>
      <c r="F280" s="33"/>
      <c r="G280" s="33"/>
      <c r="H280" s="8">
        <f>Sheet5!H282</f>
        <v>22.5</v>
      </c>
      <c r="I280" s="33" t="s">
        <v>265</v>
      </c>
      <c r="J280" s="33"/>
      <c r="K280" s="34"/>
    </row>
    <row r="281" spans="1:14" x14ac:dyDescent="0.3">
      <c r="A281" s="33" t="s">
        <v>310</v>
      </c>
      <c r="B281" s="33"/>
      <c r="C281" s="33"/>
      <c r="D281" s="33"/>
      <c r="E281" s="33"/>
      <c r="F281" s="33"/>
      <c r="G281" s="33"/>
      <c r="H281" s="9">
        <f>Sheet5!H283</f>
        <v>2</v>
      </c>
      <c r="I281" s="33" t="s">
        <v>45</v>
      </c>
      <c r="J281" s="33"/>
      <c r="K281" s="34"/>
    </row>
    <row r="282" spans="1:14" ht="20.399999999999999" x14ac:dyDescent="0.3">
      <c r="A282" s="33" t="s">
        <v>311</v>
      </c>
      <c r="B282" s="33"/>
      <c r="C282" s="33"/>
      <c r="D282" s="33"/>
      <c r="E282" s="33"/>
      <c r="F282" s="33"/>
      <c r="G282" s="33"/>
      <c r="H282" s="9" t="str">
        <f>Sheet5!H284</f>
        <v>Cost + 28% Margin</v>
      </c>
      <c r="I282" s="33" t="s">
        <v>107</v>
      </c>
      <c r="J282" s="33"/>
      <c r="K282" s="73"/>
      <c r="L282" s="20"/>
    </row>
    <row r="283" spans="1:14" x14ac:dyDescent="0.3">
      <c r="A283" s="48" t="s">
        <v>312</v>
      </c>
      <c r="B283" s="33"/>
      <c r="C283" s="33"/>
      <c r="D283" s="33"/>
      <c r="E283" s="33"/>
      <c r="F283" s="33"/>
      <c r="G283" s="33"/>
      <c r="H283" s="8">
        <v>285</v>
      </c>
      <c r="I283" s="33" t="s">
        <v>265</v>
      </c>
      <c r="J283" s="33"/>
      <c r="K283" s="34"/>
    </row>
    <row r="284" spans="1:14" ht="15" thickBot="1" x14ac:dyDescent="0.35">
      <c r="A284" s="27" t="s">
        <v>313</v>
      </c>
      <c r="B284" s="28"/>
      <c r="C284" s="28"/>
      <c r="D284" s="28"/>
      <c r="E284" s="28"/>
      <c r="F284" s="28"/>
      <c r="G284" s="29"/>
      <c r="H284" s="19">
        <f>Sheet5!H286</f>
        <v>2.5</v>
      </c>
      <c r="I284" s="28" t="s">
        <v>45</v>
      </c>
      <c r="J284" s="28"/>
      <c r="K284" s="29"/>
    </row>
    <row r="285" spans="1:14" x14ac:dyDescent="0.3">
      <c r="A285" s="69"/>
      <c r="B285" s="69"/>
      <c r="C285" s="69"/>
      <c r="D285" s="69"/>
      <c r="E285" s="69"/>
      <c r="F285" s="69"/>
      <c r="G285" s="69"/>
      <c r="H285" s="69"/>
      <c r="I285" s="69"/>
      <c r="J285" s="69"/>
      <c r="K285" s="69"/>
    </row>
    <row r="286" spans="1:14" ht="15" thickBot="1" x14ac:dyDescent="0.35">
      <c r="A286" s="62"/>
      <c r="B286" s="62"/>
      <c r="C286" s="62"/>
      <c r="D286" s="62"/>
      <c r="E286" s="62"/>
      <c r="F286" s="62"/>
      <c r="G286" s="62"/>
      <c r="H286" s="18"/>
      <c r="I286" s="62"/>
      <c r="J286" s="62"/>
      <c r="K286" s="62"/>
    </row>
    <row r="287" spans="1:14" ht="15" thickBot="1" x14ac:dyDescent="0.35">
      <c r="A287" s="55" t="s">
        <v>325</v>
      </c>
      <c r="B287" s="56"/>
      <c r="C287" s="56"/>
      <c r="D287" s="56"/>
      <c r="E287" s="56"/>
      <c r="F287" s="56"/>
      <c r="G287" s="56"/>
      <c r="H287" s="56"/>
      <c r="I287" s="56"/>
      <c r="J287" s="56"/>
      <c r="K287" s="57"/>
    </row>
    <row r="288" spans="1:14" s="1" customFormat="1" ht="22.35" customHeight="1" x14ac:dyDescent="0.3">
      <c r="A288" s="52" t="s">
        <v>326</v>
      </c>
      <c r="B288" s="53"/>
      <c r="C288" s="53"/>
      <c r="D288" s="53"/>
      <c r="E288" s="53"/>
      <c r="F288" s="53"/>
      <c r="G288" s="53"/>
      <c r="H288" s="53"/>
      <c r="I288" s="53"/>
      <c r="J288" s="53"/>
      <c r="K288" s="54"/>
    </row>
    <row r="289" spans="1:11" s="1" customFormat="1" ht="22.35" customHeight="1" x14ac:dyDescent="0.3">
      <c r="A289" s="48" t="s">
        <v>327</v>
      </c>
      <c r="B289" s="33"/>
      <c r="C289" s="33"/>
      <c r="D289" s="33"/>
      <c r="E289" s="33"/>
      <c r="F289" s="33"/>
      <c r="G289" s="33"/>
      <c r="H289" s="33"/>
      <c r="I289" s="33"/>
      <c r="J289" s="33"/>
      <c r="K289" s="34"/>
    </row>
    <row r="290" spans="1:11" s="1" customFormat="1" ht="18" customHeight="1" x14ac:dyDescent="0.3">
      <c r="A290" s="48" t="s">
        <v>366</v>
      </c>
      <c r="B290" s="33"/>
      <c r="C290" s="33"/>
      <c r="D290" s="33"/>
      <c r="E290" s="33"/>
      <c r="F290" s="33"/>
      <c r="G290" s="33"/>
      <c r="H290" s="33"/>
      <c r="I290" s="33"/>
      <c r="J290" s="33"/>
      <c r="K290" s="34"/>
    </row>
    <row r="291" spans="1:11" s="1" customFormat="1" ht="21.75" customHeight="1" x14ac:dyDescent="0.3">
      <c r="A291" s="48" t="s">
        <v>329</v>
      </c>
      <c r="B291" s="33"/>
      <c r="C291" s="33"/>
      <c r="D291" s="33"/>
      <c r="E291" s="33"/>
      <c r="F291" s="33"/>
      <c r="G291" s="33"/>
      <c r="H291" s="33"/>
      <c r="I291" s="33"/>
      <c r="J291" s="33"/>
      <c r="K291" s="34"/>
    </row>
    <row r="292" spans="1:11" s="1" customFormat="1" ht="22.35" customHeight="1" x14ac:dyDescent="0.3">
      <c r="A292" s="48" t="s">
        <v>330</v>
      </c>
      <c r="B292" s="33"/>
      <c r="C292" s="33"/>
      <c r="D292" s="33"/>
      <c r="E292" s="33"/>
      <c r="F292" s="33"/>
      <c r="G292" s="33"/>
      <c r="H292" s="33"/>
      <c r="I292" s="33"/>
      <c r="J292" s="33"/>
      <c r="K292" s="34"/>
    </row>
    <row r="293" spans="1:11" s="1" customFormat="1" x14ac:dyDescent="0.3">
      <c r="A293" s="48" t="s">
        <v>331</v>
      </c>
      <c r="B293" s="33"/>
      <c r="C293" s="33"/>
      <c r="D293" s="33"/>
      <c r="E293" s="33"/>
      <c r="F293" s="33"/>
      <c r="G293" s="33"/>
      <c r="H293" s="33"/>
      <c r="I293" s="33"/>
      <c r="J293" s="33"/>
      <c r="K293" s="34"/>
    </row>
    <row r="294" spans="1:11" s="1" customFormat="1" ht="18" customHeight="1" x14ac:dyDescent="0.3">
      <c r="A294" s="48" t="s">
        <v>332</v>
      </c>
      <c r="B294" s="33"/>
      <c r="C294" s="33"/>
      <c r="D294" s="33"/>
      <c r="E294" s="33"/>
      <c r="F294" s="33"/>
      <c r="G294" s="33"/>
      <c r="H294" s="33"/>
      <c r="I294" s="33"/>
      <c r="J294" s="33"/>
      <c r="K294" s="34"/>
    </row>
    <row r="295" spans="1:11" s="1" customFormat="1" x14ac:dyDescent="0.3">
      <c r="A295" s="27" t="s">
        <v>367</v>
      </c>
      <c r="B295" s="28"/>
      <c r="C295" s="28"/>
      <c r="D295" s="28"/>
      <c r="E295" s="28"/>
      <c r="F295" s="28"/>
      <c r="G295" s="28"/>
      <c r="H295" s="28"/>
      <c r="I295" s="28"/>
      <c r="J295" s="28"/>
      <c r="K295" s="29"/>
    </row>
    <row r="296" spans="1:11" s="1" customFormat="1" ht="15" thickBot="1" x14ac:dyDescent="0.35">
      <c r="A296" s="27" t="s">
        <v>334</v>
      </c>
      <c r="B296" s="28"/>
      <c r="C296" s="28"/>
      <c r="D296" s="28"/>
      <c r="E296" s="28"/>
      <c r="F296" s="28"/>
      <c r="G296" s="28"/>
      <c r="H296" s="28"/>
      <c r="I296" s="28"/>
      <c r="J296" s="28"/>
      <c r="K296" s="29"/>
    </row>
    <row r="297" spans="1:11" s="1" customFormat="1" ht="15" thickBot="1" x14ac:dyDescent="0.35">
      <c r="A297" s="36" t="s">
        <v>335</v>
      </c>
      <c r="B297" s="37"/>
      <c r="C297" s="37"/>
      <c r="D297" s="37"/>
      <c r="E297" s="37"/>
      <c r="F297" s="37"/>
      <c r="G297" s="37"/>
      <c r="H297" s="37"/>
      <c r="I297" s="37"/>
      <c r="J297" s="37"/>
      <c r="K297" s="38"/>
    </row>
    <row r="298" spans="1:11" s="1" customFormat="1" ht="15" thickBot="1" x14ac:dyDescent="0.35">
      <c r="A298" s="39" t="s">
        <v>336</v>
      </c>
      <c r="B298" s="40"/>
      <c r="C298" s="40"/>
      <c r="D298" s="40"/>
      <c r="E298" s="40"/>
      <c r="F298" s="40"/>
      <c r="G298" s="40"/>
      <c r="H298" s="40"/>
      <c r="I298" s="40"/>
      <c r="J298" s="40"/>
      <c r="K298" s="41"/>
    </row>
    <row r="299" spans="1:11" s="1" customFormat="1" ht="15" thickBot="1" x14ac:dyDescent="0.35">
      <c r="A299" s="36" t="s">
        <v>337</v>
      </c>
      <c r="B299" s="37"/>
      <c r="C299" s="37"/>
      <c r="D299" s="37"/>
      <c r="E299" s="37"/>
      <c r="F299" s="37"/>
      <c r="G299" s="37"/>
      <c r="H299" s="37"/>
      <c r="I299" s="37"/>
      <c r="J299" s="37"/>
      <c r="K299" s="38"/>
    </row>
    <row r="300" spans="1:11" s="1" customFormat="1" x14ac:dyDescent="0.3">
      <c r="A300" s="52" t="s">
        <v>338</v>
      </c>
      <c r="B300" s="53"/>
      <c r="C300" s="53"/>
      <c r="D300" s="53"/>
      <c r="E300" s="53"/>
      <c r="F300" s="53"/>
      <c r="G300" s="53"/>
      <c r="H300" s="53"/>
      <c r="I300" s="53"/>
      <c r="J300" s="53"/>
      <c r="K300" s="54"/>
    </row>
    <row r="301" spans="1:11" s="1" customFormat="1" ht="24" customHeight="1" x14ac:dyDescent="0.3">
      <c r="A301" s="48" t="s">
        <v>339</v>
      </c>
      <c r="B301" s="33"/>
      <c r="C301" s="33"/>
      <c r="D301" s="33"/>
      <c r="E301" s="33"/>
      <c r="F301" s="33"/>
      <c r="G301" s="33"/>
      <c r="H301" s="33"/>
      <c r="I301" s="33"/>
      <c r="J301" s="33"/>
      <c r="K301" s="34"/>
    </row>
    <row r="302" spans="1:11" s="1" customFormat="1" ht="15" thickBot="1" x14ac:dyDescent="0.35">
      <c r="A302" s="27" t="s">
        <v>340</v>
      </c>
      <c r="B302" s="28"/>
      <c r="C302" s="28"/>
      <c r="D302" s="28"/>
      <c r="E302" s="28"/>
      <c r="F302" s="28"/>
      <c r="G302" s="28"/>
      <c r="H302" s="28"/>
      <c r="I302" s="28"/>
      <c r="J302" s="28"/>
      <c r="K302" s="29"/>
    </row>
    <row r="303" spans="1:11" s="1" customFormat="1" ht="15" thickBot="1" x14ac:dyDescent="0.35">
      <c r="A303" s="36" t="s">
        <v>341</v>
      </c>
      <c r="B303" s="37"/>
      <c r="C303" s="37"/>
      <c r="D303" s="37"/>
      <c r="E303" s="37"/>
      <c r="F303" s="37"/>
      <c r="G303" s="37"/>
      <c r="H303" s="37"/>
      <c r="I303" s="37"/>
      <c r="J303" s="37"/>
      <c r="K303" s="38"/>
    </row>
    <row r="304" spans="1:11" s="1" customFormat="1" ht="30.75" customHeight="1" thickBot="1" x14ac:dyDescent="0.35">
      <c r="A304" s="39" t="s">
        <v>342</v>
      </c>
      <c r="B304" s="40"/>
      <c r="C304" s="40"/>
      <c r="D304" s="40"/>
      <c r="E304" s="40"/>
      <c r="F304" s="40"/>
      <c r="G304" s="40"/>
      <c r="H304" s="40"/>
      <c r="I304" s="40"/>
      <c r="J304" s="40"/>
      <c r="K304" s="41"/>
    </row>
    <row r="305" spans="1:11" s="1" customFormat="1" ht="15" thickBot="1" x14ac:dyDescent="0.35">
      <c r="A305" s="36" t="s">
        <v>343</v>
      </c>
      <c r="B305" s="37"/>
      <c r="C305" s="37"/>
      <c r="D305" s="37"/>
      <c r="E305" s="37"/>
      <c r="F305" s="37"/>
      <c r="G305" s="37"/>
      <c r="H305" s="37"/>
      <c r="I305" s="37"/>
      <c r="J305" s="37"/>
      <c r="K305" s="38"/>
    </row>
    <row r="306" spans="1:11" s="1" customFormat="1" x14ac:dyDescent="0.3">
      <c r="A306" s="45" t="s">
        <v>344</v>
      </c>
      <c r="B306" s="46"/>
      <c r="C306" s="46"/>
      <c r="D306" s="46"/>
      <c r="E306" s="46"/>
      <c r="F306" s="46"/>
      <c r="G306" s="46"/>
      <c r="H306" s="46"/>
      <c r="I306" s="46"/>
      <c r="J306" s="46"/>
      <c r="K306" s="47"/>
    </row>
    <row r="307" spans="1:11" s="1" customFormat="1" ht="18" customHeight="1" x14ac:dyDescent="0.3">
      <c r="A307" s="48" t="s">
        <v>345</v>
      </c>
      <c r="B307" s="33"/>
      <c r="C307" s="33"/>
      <c r="D307" s="33"/>
      <c r="E307" s="33"/>
      <c r="F307" s="33"/>
      <c r="G307" s="33"/>
      <c r="H307" s="33"/>
      <c r="I307" s="33"/>
      <c r="J307" s="33"/>
      <c r="K307" s="34"/>
    </row>
    <row r="308" spans="1:11" s="1" customFormat="1" ht="33.75" customHeight="1" x14ac:dyDescent="0.3">
      <c r="A308" s="48" t="s">
        <v>346</v>
      </c>
      <c r="B308" s="33"/>
      <c r="C308" s="33"/>
      <c r="D308" s="33"/>
      <c r="E308" s="33"/>
      <c r="F308" s="33"/>
      <c r="G308" s="33"/>
      <c r="H308" s="33"/>
      <c r="I308" s="33"/>
      <c r="J308" s="33"/>
      <c r="K308" s="34"/>
    </row>
    <row r="309" spans="1:11" s="1" customFormat="1" ht="15" thickBot="1" x14ac:dyDescent="0.35">
      <c r="A309" s="49" t="s">
        <v>347</v>
      </c>
      <c r="B309" s="50"/>
      <c r="C309" s="50"/>
      <c r="D309" s="50"/>
      <c r="E309" s="50"/>
      <c r="F309" s="50"/>
      <c r="G309" s="50"/>
      <c r="H309" s="50"/>
      <c r="I309" s="50"/>
      <c r="J309" s="50"/>
      <c r="K309" s="51"/>
    </row>
    <row r="310" spans="1:11" s="1" customFormat="1" ht="44.25" customHeight="1" thickBot="1" x14ac:dyDescent="0.35">
      <c r="A310" s="39" t="s">
        <v>348</v>
      </c>
      <c r="B310" s="40"/>
      <c r="C310" s="40"/>
      <c r="D310" s="40"/>
      <c r="E310" s="40"/>
      <c r="F310" s="40"/>
      <c r="G310" s="40"/>
      <c r="H310" s="40"/>
      <c r="I310" s="40"/>
      <c r="J310" s="40"/>
      <c r="K310" s="41"/>
    </row>
    <row r="311" spans="1:11" s="1" customFormat="1" ht="15" thickBot="1" x14ac:dyDescent="0.35">
      <c r="A311" s="36" t="s">
        <v>349</v>
      </c>
      <c r="B311" s="37"/>
      <c r="C311" s="37"/>
      <c r="D311" s="37"/>
      <c r="E311" s="37"/>
      <c r="F311" s="37"/>
      <c r="G311" s="37"/>
      <c r="H311" s="37"/>
      <c r="I311" s="37"/>
      <c r="J311" s="37"/>
      <c r="K311" s="38"/>
    </row>
    <row r="312" spans="1:11" s="1" customFormat="1" ht="15" thickBot="1" x14ac:dyDescent="0.35">
      <c r="A312" s="39" t="s">
        <v>368</v>
      </c>
      <c r="B312" s="40"/>
      <c r="C312" s="40"/>
      <c r="D312" s="40"/>
      <c r="E312" s="40"/>
      <c r="F312" s="40"/>
      <c r="G312" s="40"/>
      <c r="H312" s="40"/>
      <c r="I312" s="40"/>
      <c r="J312" s="40"/>
      <c r="K312" s="41"/>
    </row>
    <row r="313" spans="1:11" s="1" customFormat="1" ht="15" thickBot="1" x14ac:dyDescent="0.35">
      <c r="A313" s="36" t="s">
        <v>351</v>
      </c>
      <c r="B313" s="37"/>
      <c r="C313" s="37"/>
      <c r="D313" s="37"/>
      <c r="E313" s="37"/>
      <c r="F313" s="37"/>
      <c r="G313" s="37"/>
      <c r="H313" s="37"/>
      <c r="I313" s="37"/>
      <c r="J313" s="37"/>
      <c r="K313" s="38"/>
    </row>
    <row r="314" spans="1:11" s="1" customFormat="1" ht="42" customHeight="1" thickBot="1" x14ac:dyDescent="0.35">
      <c r="A314" s="42" t="s">
        <v>352</v>
      </c>
      <c r="B314" s="43"/>
      <c r="C314" s="43"/>
      <c r="D314" s="43"/>
      <c r="E314" s="43"/>
      <c r="F314" s="43"/>
      <c r="G314" s="43"/>
      <c r="H314" s="43"/>
      <c r="I314" s="43"/>
      <c r="J314" s="43"/>
      <c r="K314" s="44"/>
    </row>
  </sheetData>
  <mergeCells count="518">
    <mergeCell ref="A20:G20"/>
    <mergeCell ref="A21:G21"/>
    <mergeCell ref="A70:G70"/>
    <mergeCell ref="A57:G57"/>
    <mergeCell ref="A51:G51"/>
    <mergeCell ref="A52:G52"/>
    <mergeCell ref="A45:G45"/>
    <mergeCell ref="A46:G46"/>
    <mergeCell ref="A28:G28"/>
    <mergeCell ref="A32:G32"/>
    <mergeCell ref="A22:G22"/>
    <mergeCell ref="A27:G27"/>
    <mergeCell ref="A69:G69"/>
    <mergeCell ref="A58:G58"/>
    <mergeCell ref="A59:G59"/>
    <mergeCell ref="A60:G60"/>
    <mergeCell ref="A61:G61"/>
    <mergeCell ref="A53:G53"/>
    <mergeCell ref="A54:G54"/>
    <mergeCell ref="A56:G56"/>
    <mergeCell ref="A47:G47"/>
    <mergeCell ref="A48:G48"/>
    <mergeCell ref="A50:G50"/>
    <mergeCell ref="A33:G33"/>
    <mergeCell ref="A10:K10"/>
    <mergeCell ref="I1:K1"/>
    <mergeCell ref="A1:C1"/>
    <mergeCell ref="D1:H1"/>
    <mergeCell ref="A8:K8"/>
    <mergeCell ref="A4:B4"/>
    <mergeCell ref="A5:B5"/>
    <mergeCell ref="A6:B6"/>
    <mergeCell ref="A7:B7"/>
    <mergeCell ref="C4:K4"/>
    <mergeCell ref="C5:K5"/>
    <mergeCell ref="C6:K6"/>
    <mergeCell ref="C7:K7"/>
    <mergeCell ref="A3:K3"/>
    <mergeCell ref="A95:G95"/>
    <mergeCell ref="A85:G85"/>
    <mergeCell ref="A86:G86"/>
    <mergeCell ref="A87:G87"/>
    <mergeCell ref="A88:G88"/>
    <mergeCell ref="A83:G83"/>
    <mergeCell ref="A84:G84"/>
    <mergeCell ref="A73:G73"/>
    <mergeCell ref="A74:G74"/>
    <mergeCell ref="A75:G75"/>
    <mergeCell ref="A76:G76"/>
    <mergeCell ref="A89:G89"/>
    <mergeCell ref="A90:G90"/>
    <mergeCell ref="A91:G91"/>
    <mergeCell ref="A92:G92"/>
    <mergeCell ref="A93:G93"/>
    <mergeCell ref="A94:G94"/>
    <mergeCell ref="A77:G77"/>
    <mergeCell ref="A78:G78"/>
    <mergeCell ref="A79:G79"/>
    <mergeCell ref="A80:G80"/>
    <mergeCell ref="A81:G81"/>
    <mergeCell ref="A119:G119"/>
    <mergeCell ref="A120:G120"/>
    <mergeCell ref="A109:G109"/>
    <mergeCell ref="A110:G110"/>
    <mergeCell ref="A111:G111"/>
    <mergeCell ref="A112:G112"/>
    <mergeCell ref="A107:G107"/>
    <mergeCell ref="A108:G108"/>
    <mergeCell ref="A97:G97"/>
    <mergeCell ref="A98:G98"/>
    <mergeCell ref="A99:G99"/>
    <mergeCell ref="A100:G100"/>
    <mergeCell ref="A113:G113"/>
    <mergeCell ref="A114:G114"/>
    <mergeCell ref="A116:G116"/>
    <mergeCell ref="A117:G117"/>
    <mergeCell ref="A118:G118"/>
    <mergeCell ref="A115:K115"/>
    <mergeCell ref="A101:G101"/>
    <mergeCell ref="A102:G102"/>
    <mergeCell ref="A103:G103"/>
    <mergeCell ref="A104:G104"/>
    <mergeCell ref="A106:G106"/>
    <mergeCell ref="A105:K105"/>
    <mergeCell ref="A143:G143"/>
    <mergeCell ref="A144:G144"/>
    <mergeCell ref="A133:G133"/>
    <mergeCell ref="A134:G134"/>
    <mergeCell ref="A136:G136"/>
    <mergeCell ref="A131:G131"/>
    <mergeCell ref="A132:G132"/>
    <mergeCell ref="A121:G121"/>
    <mergeCell ref="A122:G122"/>
    <mergeCell ref="A123:G123"/>
    <mergeCell ref="A124:G124"/>
    <mergeCell ref="A142:G142"/>
    <mergeCell ref="A167:G167"/>
    <mergeCell ref="A157:G157"/>
    <mergeCell ref="A158:G158"/>
    <mergeCell ref="A160:G160"/>
    <mergeCell ref="A155:G155"/>
    <mergeCell ref="A156:G156"/>
    <mergeCell ref="A145:G145"/>
    <mergeCell ref="A146:G146"/>
    <mergeCell ref="A147:G147"/>
    <mergeCell ref="A148:G148"/>
    <mergeCell ref="A161:G161"/>
    <mergeCell ref="A162:G162"/>
    <mergeCell ref="A163:G163"/>
    <mergeCell ref="A164:G164"/>
    <mergeCell ref="A165:G165"/>
    <mergeCell ref="A149:G149"/>
    <mergeCell ref="A150:G150"/>
    <mergeCell ref="A151:G151"/>
    <mergeCell ref="A152:G152"/>
    <mergeCell ref="A153:G153"/>
    <mergeCell ref="A154:G154"/>
    <mergeCell ref="A191:G191"/>
    <mergeCell ref="A190:K190"/>
    <mergeCell ref="I189:K189"/>
    <mergeCell ref="A181:G181"/>
    <mergeCell ref="A182:G182"/>
    <mergeCell ref="A183:G183"/>
    <mergeCell ref="A178:G178"/>
    <mergeCell ref="A179:G179"/>
    <mergeCell ref="A168:G168"/>
    <mergeCell ref="A169:G169"/>
    <mergeCell ref="A170:G170"/>
    <mergeCell ref="A171:G171"/>
    <mergeCell ref="A184:G184"/>
    <mergeCell ref="A185:G185"/>
    <mergeCell ref="A186:G186"/>
    <mergeCell ref="A187:G187"/>
    <mergeCell ref="A188:G188"/>
    <mergeCell ref="A189:G189"/>
    <mergeCell ref="A172:G172"/>
    <mergeCell ref="A173:G173"/>
    <mergeCell ref="A174:G174"/>
    <mergeCell ref="A175:G175"/>
    <mergeCell ref="A176:G176"/>
    <mergeCell ref="A177:G177"/>
    <mergeCell ref="A197:K197"/>
    <mergeCell ref="I198:K198"/>
    <mergeCell ref="I199:K199"/>
    <mergeCell ref="I200:K200"/>
    <mergeCell ref="A204:G204"/>
    <mergeCell ref="A205:G205"/>
    <mergeCell ref="A206:G206"/>
    <mergeCell ref="A207:G207"/>
    <mergeCell ref="A202:G202"/>
    <mergeCell ref="A203:G203"/>
    <mergeCell ref="A247:G247"/>
    <mergeCell ref="A248:G248"/>
    <mergeCell ref="A249:G249"/>
    <mergeCell ref="A235:G235"/>
    <mergeCell ref="A236:G236"/>
    <mergeCell ref="A237:G237"/>
    <mergeCell ref="A238:G238"/>
    <mergeCell ref="A239:G239"/>
    <mergeCell ref="A242:G242"/>
    <mergeCell ref="A243:G243"/>
    <mergeCell ref="A244:G244"/>
    <mergeCell ref="A240:G240"/>
    <mergeCell ref="A226:G226"/>
    <mergeCell ref="A216:G216"/>
    <mergeCell ref="A217:G217"/>
    <mergeCell ref="A218:G218"/>
    <mergeCell ref="A219:G219"/>
    <mergeCell ref="A228:G228"/>
    <mergeCell ref="A229:G229"/>
    <mergeCell ref="A230:G230"/>
    <mergeCell ref="A246:G246"/>
    <mergeCell ref="A66:G66"/>
    <mergeCell ref="A67:G67"/>
    <mergeCell ref="A220:G220"/>
    <mergeCell ref="A221:G221"/>
    <mergeCell ref="A222:G222"/>
    <mergeCell ref="A223:G223"/>
    <mergeCell ref="A224:G224"/>
    <mergeCell ref="A225:G225"/>
    <mergeCell ref="A214:G214"/>
    <mergeCell ref="A215:G215"/>
    <mergeCell ref="A192:G192"/>
    <mergeCell ref="A193:G193"/>
    <mergeCell ref="A194:G194"/>
    <mergeCell ref="A195:G195"/>
    <mergeCell ref="A209:G209"/>
    <mergeCell ref="A210:G210"/>
    <mergeCell ref="A211:G211"/>
    <mergeCell ref="A212:G212"/>
    <mergeCell ref="A213:G213"/>
    <mergeCell ref="A196:G196"/>
    <mergeCell ref="A198:G198"/>
    <mergeCell ref="A199:G199"/>
    <mergeCell ref="A200:G200"/>
    <mergeCell ref="A201:G201"/>
    <mergeCell ref="A34:G34"/>
    <mergeCell ref="A35:G35"/>
    <mergeCell ref="A37:G37"/>
    <mergeCell ref="A38:G38"/>
    <mergeCell ref="A39:G39"/>
    <mergeCell ref="A275:G275"/>
    <mergeCell ref="A276:G276"/>
    <mergeCell ref="A265:G265"/>
    <mergeCell ref="A266:G266"/>
    <mergeCell ref="A267:G267"/>
    <mergeCell ref="A268:G268"/>
    <mergeCell ref="A263:G263"/>
    <mergeCell ref="A264:G264"/>
    <mergeCell ref="A253:G253"/>
    <mergeCell ref="A254:G254"/>
    <mergeCell ref="A255:G255"/>
    <mergeCell ref="A256:G256"/>
    <mergeCell ref="A251:G251"/>
    <mergeCell ref="A252:G252"/>
    <mergeCell ref="A241:G241"/>
    <mergeCell ref="A72:G72"/>
    <mergeCell ref="A231:G231"/>
    <mergeCell ref="A233:G233"/>
    <mergeCell ref="A49:K49"/>
    <mergeCell ref="A11:G11"/>
    <mergeCell ref="A12:G12"/>
    <mergeCell ref="A13:G13"/>
    <mergeCell ref="A14:G14"/>
    <mergeCell ref="A15:G15"/>
    <mergeCell ref="A16:G16"/>
    <mergeCell ref="A17:G17"/>
    <mergeCell ref="A68:G68"/>
    <mergeCell ref="A41:G41"/>
    <mergeCell ref="A42:G42"/>
    <mergeCell ref="A43:G43"/>
    <mergeCell ref="A44:G44"/>
    <mergeCell ref="A40:G40"/>
    <mergeCell ref="A29:G29"/>
    <mergeCell ref="A30:G30"/>
    <mergeCell ref="A31:G31"/>
    <mergeCell ref="A23:G23"/>
    <mergeCell ref="A24:G24"/>
    <mergeCell ref="A25:G25"/>
    <mergeCell ref="A26:K26"/>
    <mergeCell ref="A18:G18"/>
    <mergeCell ref="A19:G19"/>
    <mergeCell ref="A63:G63"/>
    <mergeCell ref="A64:G64"/>
    <mergeCell ref="I102:K102"/>
    <mergeCell ref="I103:K103"/>
    <mergeCell ref="I104:K104"/>
    <mergeCell ref="A137:G137"/>
    <mergeCell ref="A138:G138"/>
    <mergeCell ref="A139:G139"/>
    <mergeCell ref="A140:G140"/>
    <mergeCell ref="A141:G141"/>
    <mergeCell ref="A125:G125"/>
    <mergeCell ref="A126:G126"/>
    <mergeCell ref="A127:G127"/>
    <mergeCell ref="A128:G128"/>
    <mergeCell ref="A129:G129"/>
    <mergeCell ref="A130:G130"/>
    <mergeCell ref="I112:K112"/>
    <mergeCell ref="I113:K113"/>
    <mergeCell ref="I114:K114"/>
    <mergeCell ref="I116:K116"/>
    <mergeCell ref="I117:K117"/>
    <mergeCell ref="I118:K118"/>
    <mergeCell ref="I106:K106"/>
    <mergeCell ref="I107:K107"/>
    <mergeCell ref="I108:K108"/>
    <mergeCell ref="I109:K109"/>
    <mergeCell ref="A55:K55"/>
    <mergeCell ref="A62:K62"/>
    <mergeCell ref="A65:K65"/>
    <mergeCell ref="A71:K71"/>
    <mergeCell ref="A82:K82"/>
    <mergeCell ref="A96:K96"/>
    <mergeCell ref="A281:G281"/>
    <mergeCell ref="A282:G282"/>
    <mergeCell ref="A283:G283"/>
    <mergeCell ref="I72:K72"/>
    <mergeCell ref="I73:K73"/>
    <mergeCell ref="I74:K74"/>
    <mergeCell ref="I75:K75"/>
    <mergeCell ref="I76:K76"/>
    <mergeCell ref="I77:K77"/>
    <mergeCell ref="I78:K78"/>
    <mergeCell ref="I79:K79"/>
    <mergeCell ref="I80:K80"/>
    <mergeCell ref="I81:K81"/>
    <mergeCell ref="I278:K278"/>
    <mergeCell ref="I279:K279"/>
    <mergeCell ref="I280:K280"/>
    <mergeCell ref="I281:K281"/>
    <mergeCell ref="I282:K282"/>
    <mergeCell ref="A284:G284"/>
    <mergeCell ref="A286:G286"/>
    <mergeCell ref="A269:G269"/>
    <mergeCell ref="A270:G270"/>
    <mergeCell ref="A271:G271"/>
    <mergeCell ref="A272:G272"/>
    <mergeCell ref="A273:G273"/>
    <mergeCell ref="A274:G274"/>
    <mergeCell ref="A257:G257"/>
    <mergeCell ref="A258:G258"/>
    <mergeCell ref="A259:G259"/>
    <mergeCell ref="A277:G277"/>
    <mergeCell ref="A278:G278"/>
    <mergeCell ref="A279:G279"/>
    <mergeCell ref="A280:G280"/>
    <mergeCell ref="I286:K286"/>
    <mergeCell ref="I268:K268"/>
    <mergeCell ref="I269:K269"/>
    <mergeCell ref="I270:K270"/>
    <mergeCell ref="I271:K271"/>
    <mergeCell ref="A180:K180"/>
    <mergeCell ref="A135:K135"/>
    <mergeCell ref="A159:K159"/>
    <mergeCell ref="A166:K166"/>
    <mergeCell ref="A285:K285"/>
    <mergeCell ref="A262:K262"/>
    <mergeCell ref="A250:K250"/>
    <mergeCell ref="A234:K234"/>
    <mergeCell ref="A227:K227"/>
    <mergeCell ref="A208:K208"/>
    <mergeCell ref="A260:G260"/>
    <mergeCell ref="A261:G261"/>
    <mergeCell ref="A245:G245"/>
    <mergeCell ref="I263:K263"/>
    <mergeCell ref="I264:K264"/>
    <mergeCell ref="I265:K265"/>
    <mergeCell ref="I266:K266"/>
    <mergeCell ref="I267:K267"/>
    <mergeCell ref="I284:K284"/>
    <mergeCell ref="I251:K251"/>
    <mergeCell ref="I283:K283"/>
    <mergeCell ref="I272:K272"/>
    <mergeCell ref="I273:K273"/>
    <mergeCell ref="I274:K274"/>
    <mergeCell ref="I275:K275"/>
    <mergeCell ref="I276:K276"/>
    <mergeCell ref="I277:K277"/>
    <mergeCell ref="I244:K244"/>
    <mergeCell ref="I245:K245"/>
    <mergeCell ref="I246:K246"/>
    <mergeCell ref="I247:K247"/>
    <mergeCell ref="I248:K248"/>
    <mergeCell ref="I260:K260"/>
    <mergeCell ref="I261:K261"/>
    <mergeCell ref="I252:K252"/>
    <mergeCell ref="I253:K253"/>
    <mergeCell ref="I254:K254"/>
    <mergeCell ref="I255:K255"/>
    <mergeCell ref="I256:K256"/>
    <mergeCell ref="I257:K257"/>
    <mergeCell ref="I258:K258"/>
    <mergeCell ref="I259:K259"/>
    <mergeCell ref="I83:K83"/>
    <mergeCell ref="I84:K84"/>
    <mergeCell ref="I85:K85"/>
    <mergeCell ref="I86:K86"/>
    <mergeCell ref="I87:K87"/>
    <mergeCell ref="I88:K88"/>
    <mergeCell ref="I221:K221"/>
    <mergeCell ref="I222:K222"/>
    <mergeCell ref="I223:K223"/>
    <mergeCell ref="I215:K215"/>
    <mergeCell ref="I216:K216"/>
    <mergeCell ref="I217:K217"/>
    <mergeCell ref="I218:K218"/>
    <mergeCell ref="I219:K219"/>
    <mergeCell ref="I220:K220"/>
    <mergeCell ref="I209:K209"/>
    <mergeCell ref="I210:K210"/>
    <mergeCell ref="I211:K211"/>
    <mergeCell ref="I212:K212"/>
    <mergeCell ref="I213:K213"/>
    <mergeCell ref="I214:K214"/>
    <mergeCell ref="I95:K95"/>
    <mergeCell ref="I97:K97"/>
    <mergeCell ref="I98:K98"/>
    <mergeCell ref="I99:K99"/>
    <mergeCell ref="I100:K100"/>
    <mergeCell ref="I101:K101"/>
    <mergeCell ref="I89:K89"/>
    <mergeCell ref="I90:K90"/>
    <mergeCell ref="I91:K91"/>
    <mergeCell ref="I92:K92"/>
    <mergeCell ref="I93:K93"/>
    <mergeCell ref="I94:K94"/>
    <mergeCell ref="I110:K110"/>
    <mergeCell ref="I111:K111"/>
    <mergeCell ref="I125:K125"/>
    <mergeCell ref="I126:K126"/>
    <mergeCell ref="I127:K127"/>
    <mergeCell ref="I128:K128"/>
    <mergeCell ref="I129:K129"/>
    <mergeCell ref="I130:K130"/>
    <mergeCell ref="I119:K119"/>
    <mergeCell ref="I120:K120"/>
    <mergeCell ref="I121:K121"/>
    <mergeCell ref="I122:K122"/>
    <mergeCell ref="I123:K123"/>
    <mergeCell ref="I124:K124"/>
    <mergeCell ref="I138:K138"/>
    <mergeCell ref="I139:K139"/>
    <mergeCell ref="I140:K140"/>
    <mergeCell ref="I141:K141"/>
    <mergeCell ref="I142:K142"/>
    <mergeCell ref="I143:K143"/>
    <mergeCell ref="I131:K131"/>
    <mergeCell ref="I132:K132"/>
    <mergeCell ref="I133:K133"/>
    <mergeCell ref="I134:K134"/>
    <mergeCell ref="I136:K136"/>
    <mergeCell ref="I137:K137"/>
    <mergeCell ref="I150:K150"/>
    <mergeCell ref="I151:K151"/>
    <mergeCell ref="I152:K152"/>
    <mergeCell ref="I153:K153"/>
    <mergeCell ref="I154:K154"/>
    <mergeCell ref="I155:K155"/>
    <mergeCell ref="I144:K144"/>
    <mergeCell ref="I145:K145"/>
    <mergeCell ref="I146:K146"/>
    <mergeCell ref="I147:K147"/>
    <mergeCell ref="I148:K148"/>
    <mergeCell ref="I149:K149"/>
    <mergeCell ref="I163:K163"/>
    <mergeCell ref="I164:K164"/>
    <mergeCell ref="I165:K165"/>
    <mergeCell ref="I167:K167"/>
    <mergeCell ref="I168:K168"/>
    <mergeCell ref="I169:K169"/>
    <mergeCell ref="I156:K156"/>
    <mergeCell ref="I157:K157"/>
    <mergeCell ref="I158:K158"/>
    <mergeCell ref="I160:K160"/>
    <mergeCell ref="I161:K161"/>
    <mergeCell ref="I162:K162"/>
    <mergeCell ref="I176:K176"/>
    <mergeCell ref="I177:K177"/>
    <mergeCell ref="I178:K178"/>
    <mergeCell ref="I179:K179"/>
    <mergeCell ref="I181:K181"/>
    <mergeCell ref="I182:K182"/>
    <mergeCell ref="I170:K170"/>
    <mergeCell ref="I171:K171"/>
    <mergeCell ref="I172:K172"/>
    <mergeCell ref="I173:K173"/>
    <mergeCell ref="I174:K174"/>
    <mergeCell ref="I175:K175"/>
    <mergeCell ref="I191:K191"/>
    <mergeCell ref="I192:K192"/>
    <mergeCell ref="I193:K193"/>
    <mergeCell ref="I194:K194"/>
    <mergeCell ref="I195:K195"/>
    <mergeCell ref="I196:K196"/>
    <mergeCell ref="I183:K183"/>
    <mergeCell ref="I184:K184"/>
    <mergeCell ref="I185:K185"/>
    <mergeCell ref="I186:K186"/>
    <mergeCell ref="I187:K187"/>
    <mergeCell ref="I188:K188"/>
    <mergeCell ref="I201:K201"/>
    <mergeCell ref="I202:K202"/>
    <mergeCell ref="I203:K203"/>
    <mergeCell ref="I204:K204"/>
    <mergeCell ref="I205:K205"/>
    <mergeCell ref="I206:K206"/>
    <mergeCell ref="I224:K224"/>
    <mergeCell ref="I225:K225"/>
    <mergeCell ref="I226:K226"/>
    <mergeCell ref="A295:K295"/>
    <mergeCell ref="A297:K297"/>
    <mergeCell ref="A298:K298"/>
    <mergeCell ref="I207:K207"/>
    <mergeCell ref="A287:K287"/>
    <mergeCell ref="A288:K288"/>
    <mergeCell ref="A289:K289"/>
    <mergeCell ref="A290:K290"/>
    <mergeCell ref="A291:K291"/>
    <mergeCell ref="I249:K249"/>
    <mergeCell ref="I228:K228"/>
    <mergeCell ref="I229:K229"/>
    <mergeCell ref="I230:K230"/>
    <mergeCell ref="I231:K231"/>
    <mergeCell ref="I233:K233"/>
    <mergeCell ref="I243:K243"/>
    <mergeCell ref="I235:K235"/>
    <mergeCell ref="I236:K236"/>
    <mergeCell ref="I237:K237"/>
    <mergeCell ref="I238:K238"/>
    <mergeCell ref="I239:K239"/>
    <mergeCell ref="I240:K240"/>
    <mergeCell ref="I241:K241"/>
    <mergeCell ref="I242:K242"/>
    <mergeCell ref="A36:G36"/>
    <mergeCell ref="A296:K296"/>
    <mergeCell ref="A232:G232"/>
    <mergeCell ref="I232:K232"/>
    <mergeCell ref="B9:J9"/>
    <mergeCell ref="A311:K311"/>
    <mergeCell ref="A312:K312"/>
    <mergeCell ref="A313:K313"/>
    <mergeCell ref="A314:K314"/>
    <mergeCell ref="A305:K305"/>
    <mergeCell ref="A306:K306"/>
    <mergeCell ref="A307:K307"/>
    <mergeCell ref="A308:K308"/>
    <mergeCell ref="A309:K309"/>
    <mergeCell ref="A310:K310"/>
    <mergeCell ref="A299:K299"/>
    <mergeCell ref="A300:K300"/>
    <mergeCell ref="A301:K301"/>
    <mergeCell ref="A302:K302"/>
    <mergeCell ref="A303:K303"/>
    <mergeCell ref="A304:K304"/>
    <mergeCell ref="A292:K292"/>
    <mergeCell ref="A293:K293"/>
    <mergeCell ref="A294:K294"/>
  </mergeCells>
  <pageMargins left="0.15" right="0.15" top="0.75" bottom="0" header="0.3" footer="0"/>
  <pageSetup orientation="portrait" r:id="rId1"/>
  <headerFooter>
    <oddHeader>&amp;C&amp;G</oddHeader>
  </headerFooter>
  <colBreaks count="1" manualBreakCount="1">
    <brk id="11" max="1048575" man="1"/>
  </col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A8AD7-7AF6-4472-871F-D0F16692A04E}">
  <dimension ref="A1:M326"/>
  <sheetViews>
    <sheetView zoomScale="145" zoomScaleNormal="145" workbookViewId="0">
      <selection activeCell="M12" sqref="M12"/>
    </sheetView>
  </sheetViews>
  <sheetFormatPr defaultRowHeight="14.4" x14ac:dyDescent="0.3"/>
  <cols>
    <col min="1" max="1" width="10.5546875" customWidth="1"/>
    <col min="5" max="5" width="8.6640625" customWidth="1"/>
    <col min="6" max="6" width="5.5546875" customWidth="1"/>
    <col min="7" max="7" width="3.33203125" customWidth="1"/>
    <col min="8" max="8" width="12" customWidth="1"/>
    <col min="9" max="9" width="12.6640625" customWidth="1"/>
    <col min="10" max="10" width="12" customWidth="1"/>
    <col min="11" max="11" width="11.6640625" customWidth="1"/>
    <col min="12" max="12" width="1.6640625" customWidth="1"/>
  </cols>
  <sheetData>
    <row r="1" spans="1:13" x14ac:dyDescent="0.3">
      <c r="A1" s="92"/>
      <c r="B1" s="92"/>
      <c r="C1" s="92"/>
      <c r="D1" s="93"/>
      <c r="E1" s="93"/>
      <c r="F1" s="93"/>
      <c r="G1" s="93"/>
      <c r="H1" s="93"/>
      <c r="I1" s="91"/>
      <c r="J1" s="91"/>
      <c r="K1" s="91"/>
    </row>
    <row r="2" spans="1:13" ht="25.5" customHeight="1" x14ac:dyDescent="0.3"/>
    <row r="3" spans="1:13" ht="20.25" customHeight="1" thickBot="1" x14ac:dyDescent="0.35">
      <c r="A3" s="107" t="s">
        <v>0</v>
      </c>
      <c r="B3" s="107"/>
      <c r="C3" s="107"/>
      <c r="D3" s="107"/>
      <c r="E3" s="107"/>
      <c r="F3" s="107"/>
      <c r="G3" s="107"/>
      <c r="H3" s="107"/>
      <c r="I3" s="107"/>
      <c r="J3" s="107"/>
      <c r="K3" s="107"/>
    </row>
    <row r="4" spans="1:13" ht="15.75" customHeight="1" x14ac:dyDescent="0.3">
      <c r="A4" s="95" t="s">
        <v>1</v>
      </c>
      <c r="B4" s="96"/>
      <c r="C4" s="101" t="s">
        <v>2</v>
      </c>
      <c r="D4" s="101"/>
      <c r="E4" s="101"/>
      <c r="F4" s="101"/>
      <c r="G4" s="101"/>
      <c r="H4" s="101"/>
      <c r="I4" s="101"/>
      <c r="J4" s="101"/>
      <c r="K4" s="102"/>
      <c r="M4" s="16"/>
    </row>
    <row r="5" spans="1:13" ht="15.75" customHeight="1" x14ac:dyDescent="0.3">
      <c r="A5" s="97" t="s">
        <v>3</v>
      </c>
      <c r="B5" s="98"/>
      <c r="C5" s="103" t="s">
        <v>4</v>
      </c>
      <c r="D5" s="103"/>
      <c r="E5" s="103"/>
      <c r="F5" s="103"/>
      <c r="G5" s="103"/>
      <c r="H5" s="103"/>
      <c r="I5" s="103"/>
      <c r="J5" s="103"/>
      <c r="K5" s="104"/>
    </row>
    <row r="6" spans="1:13" x14ac:dyDescent="0.3">
      <c r="A6" s="97" t="s">
        <v>5</v>
      </c>
      <c r="B6" s="98"/>
      <c r="C6" s="103" t="s">
        <v>6</v>
      </c>
      <c r="D6" s="103"/>
      <c r="E6" s="103"/>
      <c r="F6" s="103"/>
      <c r="G6" s="103"/>
      <c r="H6" s="103"/>
      <c r="I6" s="103"/>
      <c r="J6" s="103"/>
      <c r="K6" s="104"/>
    </row>
    <row r="7" spans="1:13" ht="15" thickBot="1" x14ac:dyDescent="0.35">
      <c r="A7" s="99" t="s">
        <v>7</v>
      </c>
      <c r="B7" s="100"/>
      <c r="C7" s="105" t="s">
        <v>8</v>
      </c>
      <c r="D7" s="105"/>
      <c r="E7" s="105"/>
      <c r="F7" s="105"/>
      <c r="G7" s="105"/>
      <c r="H7" s="105"/>
      <c r="I7" s="105"/>
      <c r="J7" s="105"/>
      <c r="K7" s="106"/>
    </row>
    <row r="8" spans="1:13" x14ac:dyDescent="0.3">
      <c r="A8" s="94" t="s">
        <v>9</v>
      </c>
      <c r="B8" s="94"/>
      <c r="C8" s="94"/>
      <c r="D8" s="94"/>
      <c r="E8" s="94"/>
      <c r="F8" s="94"/>
      <c r="G8" s="94"/>
      <c r="H8" s="94"/>
      <c r="I8" s="94"/>
      <c r="J8" s="94"/>
      <c r="K8" s="94"/>
    </row>
    <row r="10" spans="1:13" ht="15" thickBot="1" x14ac:dyDescent="0.35">
      <c r="A10" s="128" t="s">
        <v>10</v>
      </c>
      <c r="B10" s="128"/>
      <c r="C10" s="128"/>
      <c r="D10" s="128"/>
      <c r="E10" s="128"/>
      <c r="F10" s="128"/>
      <c r="G10" s="128"/>
      <c r="H10" s="128"/>
      <c r="I10" s="128"/>
      <c r="J10" s="128"/>
      <c r="K10" s="128"/>
    </row>
    <row r="11" spans="1:13" ht="28.2" thickBot="1" x14ac:dyDescent="0.35">
      <c r="A11" s="129" t="s">
        <v>11</v>
      </c>
      <c r="B11" s="130"/>
      <c r="C11" s="130"/>
      <c r="D11" s="130"/>
      <c r="E11" s="130"/>
      <c r="F11" s="130"/>
      <c r="G11" s="131"/>
      <c r="H11" s="5" t="s">
        <v>12</v>
      </c>
      <c r="I11" s="6" t="s">
        <v>13</v>
      </c>
      <c r="J11" s="6" t="s">
        <v>14</v>
      </c>
      <c r="K11" s="7" t="s">
        <v>15</v>
      </c>
    </row>
    <row r="12" spans="1:13" x14ac:dyDescent="0.3">
      <c r="A12" s="78" t="s">
        <v>16</v>
      </c>
      <c r="B12" s="79"/>
      <c r="C12" s="79"/>
      <c r="D12" s="79"/>
      <c r="E12" s="79"/>
      <c r="F12" s="79"/>
      <c r="G12" s="80"/>
      <c r="H12" s="8">
        <v>68</v>
      </c>
      <c r="I12" s="8">
        <f t="shared" ref="I12:I24" si="0">H12*1.5</f>
        <v>102</v>
      </c>
      <c r="J12" s="8">
        <f>H12*2</f>
        <v>136</v>
      </c>
      <c r="K12" s="4" t="s">
        <v>17</v>
      </c>
      <c r="M12">
        <f>IF(ISNUMBER(I12),IFERROR(H12*1.5,I12),I12)</f>
        <v>102</v>
      </c>
    </row>
    <row r="13" spans="1:13" x14ac:dyDescent="0.3">
      <c r="A13" s="30" t="s">
        <v>18</v>
      </c>
      <c r="B13" s="31"/>
      <c r="C13" s="31"/>
      <c r="D13" s="31"/>
      <c r="E13" s="31"/>
      <c r="F13" s="31"/>
      <c r="G13" s="32"/>
      <c r="H13" s="9">
        <v>65</v>
      </c>
      <c r="I13" s="8">
        <f t="shared" si="0"/>
        <v>97.5</v>
      </c>
      <c r="J13" s="8">
        <f t="shared" ref="J13:J24" si="1">H13*2</f>
        <v>130</v>
      </c>
      <c r="K13" s="2" t="s">
        <v>17</v>
      </c>
    </row>
    <row r="14" spans="1:13" x14ac:dyDescent="0.3">
      <c r="A14" s="30" t="s">
        <v>19</v>
      </c>
      <c r="B14" s="31"/>
      <c r="C14" s="31"/>
      <c r="D14" s="31"/>
      <c r="E14" s="31"/>
      <c r="F14" s="31"/>
      <c r="G14" s="32"/>
      <c r="H14" s="9">
        <v>60</v>
      </c>
      <c r="I14" s="8">
        <f t="shared" si="0"/>
        <v>90</v>
      </c>
      <c r="J14" s="8">
        <f t="shared" si="1"/>
        <v>120</v>
      </c>
      <c r="K14" s="2" t="s">
        <v>17</v>
      </c>
    </row>
    <row r="15" spans="1:13" x14ac:dyDescent="0.3">
      <c r="A15" s="30" t="s">
        <v>20</v>
      </c>
      <c r="B15" s="31"/>
      <c r="C15" s="31"/>
      <c r="D15" s="31"/>
      <c r="E15" s="31"/>
      <c r="F15" s="31"/>
      <c r="G15" s="32"/>
      <c r="H15" s="9">
        <v>110</v>
      </c>
      <c r="I15" s="8">
        <f t="shared" si="0"/>
        <v>165</v>
      </c>
      <c r="J15" s="8">
        <f t="shared" si="1"/>
        <v>220</v>
      </c>
      <c r="K15" s="2" t="s">
        <v>17</v>
      </c>
    </row>
    <row r="16" spans="1:13" x14ac:dyDescent="0.3">
      <c r="A16" s="30" t="s">
        <v>21</v>
      </c>
      <c r="B16" s="31"/>
      <c r="C16" s="31"/>
      <c r="D16" s="31"/>
      <c r="E16" s="31"/>
      <c r="F16" s="31"/>
      <c r="G16" s="32"/>
      <c r="H16" s="9">
        <v>95</v>
      </c>
      <c r="I16" s="8">
        <f t="shared" si="0"/>
        <v>142.5</v>
      </c>
      <c r="J16" s="8">
        <f t="shared" si="1"/>
        <v>190</v>
      </c>
      <c r="K16" s="2" t="s">
        <v>17</v>
      </c>
    </row>
    <row r="17" spans="1:11" x14ac:dyDescent="0.3">
      <c r="A17" s="30" t="s">
        <v>22</v>
      </c>
      <c r="B17" s="31"/>
      <c r="C17" s="31"/>
      <c r="D17" s="31"/>
      <c r="E17" s="31"/>
      <c r="F17" s="31"/>
      <c r="G17" s="32"/>
      <c r="H17" s="9">
        <v>85</v>
      </c>
      <c r="I17" s="8">
        <f t="shared" si="0"/>
        <v>127.5</v>
      </c>
      <c r="J17" s="8">
        <f t="shared" si="1"/>
        <v>170</v>
      </c>
      <c r="K17" s="2" t="s">
        <v>17</v>
      </c>
    </row>
    <row r="18" spans="1:11" x14ac:dyDescent="0.3">
      <c r="A18" s="30" t="s">
        <v>23</v>
      </c>
      <c r="B18" s="31"/>
      <c r="C18" s="31"/>
      <c r="D18" s="31"/>
      <c r="E18" s="31"/>
      <c r="F18" s="31"/>
      <c r="G18" s="32"/>
      <c r="H18" s="9">
        <v>80</v>
      </c>
      <c r="I18" s="8">
        <f t="shared" si="0"/>
        <v>120</v>
      </c>
      <c r="J18" s="8">
        <f t="shared" si="1"/>
        <v>160</v>
      </c>
      <c r="K18" s="2" t="s">
        <v>17</v>
      </c>
    </row>
    <row r="19" spans="1:11" x14ac:dyDescent="0.3">
      <c r="A19" s="30" t="s">
        <v>24</v>
      </c>
      <c r="B19" s="31"/>
      <c r="C19" s="31"/>
      <c r="D19" s="31"/>
      <c r="E19" s="31"/>
      <c r="F19" s="31"/>
      <c r="G19" s="32"/>
      <c r="H19" s="9">
        <v>70</v>
      </c>
      <c r="I19" s="8">
        <f t="shared" si="0"/>
        <v>105</v>
      </c>
      <c r="J19" s="8">
        <f t="shared" si="1"/>
        <v>140</v>
      </c>
      <c r="K19" s="2" t="s">
        <v>17</v>
      </c>
    </row>
    <row r="20" spans="1:11" x14ac:dyDescent="0.3">
      <c r="A20" s="30" t="s">
        <v>25</v>
      </c>
      <c r="B20" s="31"/>
      <c r="C20" s="31"/>
      <c r="D20" s="31"/>
      <c r="E20" s="31"/>
      <c r="F20" s="31"/>
      <c r="G20" s="32"/>
      <c r="H20" s="9">
        <v>60</v>
      </c>
      <c r="I20" s="8">
        <f t="shared" si="0"/>
        <v>90</v>
      </c>
      <c r="J20" s="8">
        <f t="shared" si="1"/>
        <v>120</v>
      </c>
      <c r="K20" s="2" t="s">
        <v>17</v>
      </c>
    </row>
    <row r="21" spans="1:11" x14ac:dyDescent="0.3">
      <c r="A21" s="30" t="s">
        <v>26</v>
      </c>
      <c r="B21" s="31"/>
      <c r="C21" s="31"/>
      <c r="D21" s="31"/>
      <c r="E21" s="31"/>
      <c r="F21" s="31"/>
      <c r="G21" s="32"/>
      <c r="H21" s="9">
        <v>78</v>
      </c>
      <c r="I21" s="8">
        <f t="shared" si="0"/>
        <v>117</v>
      </c>
      <c r="J21" s="8">
        <f t="shared" si="1"/>
        <v>156</v>
      </c>
      <c r="K21" s="2" t="s">
        <v>17</v>
      </c>
    </row>
    <row r="22" spans="1:11" x14ac:dyDescent="0.3">
      <c r="A22" s="30" t="s">
        <v>27</v>
      </c>
      <c r="B22" s="31"/>
      <c r="C22" s="31"/>
      <c r="D22" s="31"/>
      <c r="E22" s="31"/>
      <c r="F22" s="31"/>
      <c r="G22" s="32"/>
      <c r="H22" s="9">
        <v>80</v>
      </c>
      <c r="I22" s="8">
        <f t="shared" si="0"/>
        <v>120</v>
      </c>
      <c r="J22" s="8">
        <f t="shared" si="1"/>
        <v>160</v>
      </c>
      <c r="K22" s="2" t="s">
        <v>17</v>
      </c>
    </row>
    <row r="23" spans="1:11" x14ac:dyDescent="0.3">
      <c r="A23" s="30" t="s">
        <v>28</v>
      </c>
      <c r="B23" s="31"/>
      <c r="C23" s="31"/>
      <c r="D23" s="31"/>
      <c r="E23" s="31"/>
      <c r="F23" s="31"/>
      <c r="G23" s="32"/>
      <c r="H23" s="9">
        <v>75</v>
      </c>
      <c r="I23" s="8">
        <f t="shared" si="0"/>
        <v>112.5</v>
      </c>
      <c r="J23" s="8">
        <f t="shared" si="1"/>
        <v>150</v>
      </c>
      <c r="K23" s="2" t="s">
        <v>17</v>
      </c>
    </row>
    <row r="24" spans="1:11" x14ac:dyDescent="0.3">
      <c r="A24" s="30" t="s">
        <v>29</v>
      </c>
      <c r="B24" s="31"/>
      <c r="C24" s="31"/>
      <c r="D24" s="31"/>
      <c r="E24" s="31"/>
      <c r="F24" s="31"/>
      <c r="G24" s="32"/>
      <c r="H24" s="9">
        <v>65</v>
      </c>
      <c r="I24" s="8">
        <f t="shared" si="0"/>
        <v>97.5</v>
      </c>
      <c r="J24" s="8">
        <f t="shared" si="1"/>
        <v>130</v>
      </c>
      <c r="K24" s="2" t="s">
        <v>17</v>
      </c>
    </row>
    <row r="25" spans="1:11" x14ac:dyDescent="0.3">
      <c r="A25" s="30" t="s">
        <v>30</v>
      </c>
      <c r="B25" s="31"/>
      <c r="C25" s="31"/>
      <c r="D25" s="31"/>
      <c r="E25" s="31"/>
      <c r="F25" s="31"/>
      <c r="G25" s="32"/>
      <c r="H25" s="9">
        <v>200</v>
      </c>
      <c r="I25" s="8">
        <v>200</v>
      </c>
      <c r="J25" s="8">
        <v>300</v>
      </c>
      <c r="K25" s="2" t="s">
        <v>31</v>
      </c>
    </row>
    <row r="26" spans="1:11" ht="15" thickBot="1" x14ac:dyDescent="0.35">
      <c r="A26" s="81" t="s">
        <v>32</v>
      </c>
      <c r="B26" s="82"/>
      <c r="C26" s="82"/>
      <c r="D26" s="82"/>
      <c r="E26" s="82"/>
      <c r="F26" s="82"/>
      <c r="G26" s="83"/>
      <c r="H26" s="10">
        <v>70</v>
      </c>
      <c r="I26" s="8">
        <v>70</v>
      </c>
      <c r="J26" s="8">
        <v>100</v>
      </c>
      <c r="K26" s="3" t="s">
        <v>31</v>
      </c>
    </row>
    <row r="27" spans="1:11" ht="15" thickBot="1" x14ac:dyDescent="0.35">
      <c r="A27" s="114" t="s">
        <v>33</v>
      </c>
      <c r="B27" s="115"/>
      <c r="C27" s="115"/>
      <c r="D27" s="115"/>
      <c r="E27" s="115"/>
      <c r="F27" s="115"/>
      <c r="G27" s="115"/>
      <c r="H27" s="115"/>
      <c r="I27" s="115"/>
      <c r="J27" s="115"/>
      <c r="K27" s="116"/>
    </row>
    <row r="28" spans="1:11" x14ac:dyDescent="0.3">
      <c r="A28" s="52" t="s">
        <v>34</v>
      </c>
      <c r="B28" s="53"/>
      <c r="C28" s="53"/>
      <c r="D28" s="53"/>
      <c r="E28" s="53"/>
      <c r="F28" s="53"/>
      <c r="G28" s="53"/>
      <c r="H28" s="8">
        <v>400</v>
      </c>
      <c r="I28" s="8" t="s">
        <v>35</v>
      </c>
      <c r="J28" s="8" t="s">
        <v>35</v>
      </c>
      <c r="K28" s="4" t="s">
        <v>17</v>
      </c>
    </row>
    <row r="29" spans="1:11" x14ac:dyDescent="0.3">
      <c r="A29" s="48" t="s">
        <v>36</v>
      </c>
      <c r="B29" s="33"/>
      <c r="C29" s="33"/>
      <c r="D29" s="33"/>
      <c r="E29" s="33"/>
      <c r="F29" s="33"/>
      <c r="G29" s="33"/>
      <c r="H29" s="9">
        <v>350</v>
      </c>
      <c r="I29" s="9" t="s">
        <v>35</v>
      </c>
      <c r="J29" s="9" t="s">
        <v>35</v>
      </c>
      <c r="K29" s="2" t="s">
        <v>37</v>
      </c>
    </row>
    <row r="30" spans="1:11" x14ac:dyDescent="0.3">
      <c r="A30" s="48" t="s">
        <v>38</v>
      </c>
      <c r="B30" s="33"/>
      <c r="C30" s="33"/>
      <c r="D30" s="33"/>
      <c r="E30" s="33"/>
      <c r="F30" s="33"/>
      <c r="G30" s="33"/>
      <c r="H30" s="9">
        <v>300</v>
      </c>
      <c r="I30" s="9" t="s">
        <v>35</v>
      </c>
      <c r="J30" s="9" t="s">
        <v>35</v>
      </c>
      <c r="K30" s="2" t="s">
        <v>37</v>
      </c>
    </row>
    <row r="31" spans="1:11" x14ac:dyDescent="0.3">
      <c r="A31" s="48" t="s">
        <v>39</v>
      </c>
      <c r="B31" s="33"/>
      <c r="C31" s="33"/>
      <c r="D31" s="33"/>
      <c r="E31" s="33"/>
      <c r="F31" s="33"/>
      <c r="G31" s="33"/>
      <c r="H31" s="9">
        <v>225</v>
      </c>
      <c r="I31" s="9" t="s">
        <v>35</v>
      </c>
      <c r="J31" s="9" t="s">
        <v>35</v>
      </c>
      <c r="K31" s="2" t="s">
        <v>17</v>
      </c>
    </row>
    <row r="32" spans="1:11" x14ac:dyDescent="0.3">
      <c r="A32" s="48" t="s">
        <v>40</v>
      </c>
      <c r="B32" s="33"/>
      <c r="C32" s="33"/>
      <c r="D32" s="33"/>
      <c r="E32" s="33"/>
      <c r="F32" s="33"/>
      <c r="G32" s="33"/>
      <c r="H32" s="9">
        <v>55</v>
      </c>
      <c r="I32" s="9" t="s">
        <v>35</v>
      </c>
      <c r="J32" s="9" t="s">
        <v>35</v>
      </c>
      <c r="K32" s="2" t="s">
        <v>17</v>
      </c>
    </row>
    <row r="33" spans="1:11" x14ac:dyDescent="0.3">
      <c r="A33" s="48" t="s">
        <v>41</v>
      </c>
      <c r="B33" s="33"/>
      <c r="C33" s="33"/>
      <c r="D33" s="33"/>
      <c r="E33" s="33"/>
      <c r="F33" s="33"/>
      <c r="G33" s="33"/>
      <c r="H33" s="9">
        <v>300</v>
      </c>
      <c r="I33" s="9" t="s">
        <v>35</v>
      </c>
      <c r="J33" s="9" t="s">
        <v>35</v>
      </c>
      <c r="K33" s="2" t="s">
        <v>37</v>
      </c>
    </row>
    <row r="34" spans="1:11" x14ac:dyDescent="0.3">
      <c r="A34" s="48" t="s">
        <v>42</v>
      </c>
      <c r="B34" s="33"/>
      <c r="C34" s="33"/>
      <c r="D34" s="33"/>
      <c r="E34" s="33"/>
      <c r="F34" s="33"/>
      <c r="G34" s="33"/>
      <c r="H34" s="9">
        <v>200</v>
      </c>
      <c r="I34" s="9" t="s">
        <v>35</v>
      </c>
      <c r="J34" s="9" t="s">
        <v>35</v>
      </c>
      <c r="K34" s="2" t="s">
        <v>37</v>
      </c>
    </row>
    <row r="35" spans="1:11" x14ac:dyDescent="0.3">
      <c r="A35" s="48" t="s">
        <v>43</v>
      </c>
      <c r="B35" s="33"/>
      <c r="C35" s="33"/>
      <c r="D35" s="33"/>
      <c r="E35" s="33"/>
      <c r="F35" s="33"/>
      <c r="G35" s="33"/>
      <c r="H35" s="9">
        <v>75</v>
      </c>
      <c r="I35" s="9" t="s">
        <v>35</v>
      </c>
      <c r="J35" s="9" t="s">
        <v>35</v>
      </c>
      <c r="K35" s="2" t="s">
        <v>17</v>
      </c>
    </row>
    <row r="36" spans="1:11" x14ac:dyDescent="0.3">
      <c r="A36" s="48" t="s">
        <v>44</v>
      </c>
      <c r="B36" s="33"/>
      <c r="C36" s="33"/>
      <c r="D36" s="33"/>
      <c r="E36" s="33"/>
      <c r="F36" s="33"/>
      <c r="G36" s="33"/>
      <c r="H36" s="11">
        <v>35</v>
      </c>
      <c r="I36" s="9" t="s">
        <v>35</v>
      </c>
      <c r="J36" s="9" t="s">
        <v>35</v>
      </c>
      <c r="K36" s="2" t="s">
        <v>45</v>
      </c>
    </row>
    <row r="37" spans="1:11" x14ac:dyDescent="0.3">
      <c r="A37" s="48" t="s">
        <v>46</v>
      </c>
      <c r="B37" s="33"/>
      <c r="C37" s="33"/>
      <c r="D37" s="33"/>
      <c r="E37" s="33"/>
      <c r="F37" s="33"/>
      <c r="G37" s="33"/>
      <c r="H37" s="11">
        <v>55</v>
      </c>
      <c r="I37" s="9" t="s">
        <v>35</v>
      </c>
      <c r="J37" s="9" t="s">
        <v>35</v>
      </c>
      <c r="K37" s="2" t="s">
        <v>45</v>
      </c>
    </row>
    <row r="38" spans="1:11" x14ac:dyDescent="0.3">
      <c r="A38" s="48" t="s">
        <v>47</v>
      </c>
      <c r="B38" s="33"/>
      <c r="C38" s="33"/>
      <c r="D38" s="33"/>
      <c r="E38" s="33"/>
      <c r="F38" s="33"/>
      <c r="G38" s="33"/>
      <c r="H38" s="11">
        <v>130</v>
      </c>
      <c r="I38" s="9">
        <v>160</v>
      </c>
      <c r="J38" s="9">
        <v>205</v>
      </c>
      <c r="K38" s="2" t="s">
        <v>17</v>
      </c>
    </row>
    <row r="39" spans="1:11" x14ac:dyDescent="0.3">
      <c r="A39" s="48" t="s">
        <v>48</v>
      </c>
      <c r="B39" s="33"/>
      <c r="C39" s="33"/>
      <c r="D39" s="33"/>
      <c r="E39" s="33"/>
      <c r="F39" s="33"/>
      <c r="G39" s="33"/>
      <c r="H39" s="11">
        <v>135</v>
      </c>
      <c r="I39" s="9">
        <v>165</v>
      </c>
      <c r="J39" s="9">
        <v>210</v>
      </c>
      <c r="K39" s="2" t="s">
        <v>17</v>
      </c>
    </row>
    <row r="40" spans="1:11" x14ac:dyDescent="0.3">
      <c r="A40" s="48" t="s">
        <v>49</v>
      </c>
      <c r="B40" s="33"/>
      <c r="C40" s="33"/>
      <c r="D40" s="33"/>
      <c r="E40" s="33"/>
      <c r="F40" s="33"/>
      <c r="G40" s="33"/>
      <c r="H40" s="9">
        <v>150</v>
      </c>
      <c r="I40" s="9">
        <v>185</v>
      </c>
      <c r="J40" s="9">
        <v>225</v>
      </c>
      <c r="K40" s="2" t="s">
        <v>17</v>
      </c>
    </row>
    <row r="41" spans="1:11" x14ac:dyDescent="0.3">
      <c r="A41" s="48" t="s">
        <v>50</v>
      </c>
      <c r="B41" s="33"/>
      <c r="C41" s="33"/>
      <c r="D41" s="33"/>
      <c r="E41" s="33"/>
      <c r="F41" s="33"/>
      <c r="G41" s="33"/>
      <c r="H41" s="9">
        <v>150</v>
      </c>
      <c r="I41" s="9">
        <v>185</v>
      </c>
      <c r="J41" s="9">
        <v>225</v>
      </c>
      <c r="K41" s="2" t="s">
        <v>17</v>
      </c>
    </row>
    <row r="42" spans="1:11" x14ac:dyDescent="0.3">
      <c r="A42" s="48" t="s">
        <v>51</v>
      </c>
      <c r="B42" s="33"/>
      <c r="C42" s="33"/>
      <c r="D42" s="33"/>
      <c r="E42" s="33"/>
      <c r="F42" s="33"/>
      <c r="G42" s="33"/>
      <c r="H42" s="9">
        <v>140</v>
      </c>
      <c r="I42" s="9">
        <v>175</v>
      </c>
      <c r="J42" s="9">
        <v>215</v>
      </c>
      <c r="K42" s="2" t="s">
        <v>17</v>
      </c>
    </row>
    <row r="43" spans="1:11" x14ac:dyDescent="0.3">
      <c r="A43" s="48" t="s">
        <v>52</v>
      </c>
      <c r="B43" s="33"/>
      <c r="C43" s="33"/>
      <c r="D43" s="33"/>
      <c r="E43" s="33"/>
      <c r="F43" s="33"/>
      <c r="G43" s="33"/>
      <c r="H43" s="9">
        <v>165</v>
      </c>
      <c r="I43" s="9">
        <v>200</v>
      </c>
      <c r="J43" s="9">
        <v>245</v>
      </c>
      <c r="K43" s="2" t="s">
        <v>17</v>
      </c>
    </row>
    <row r="44" spans="1:11" x14ac:dyDescent="0.3">
      <c r="A44" s="48" t="s">
        <v>53</v>
      </c>
      <c r="B44" s="33"/>
      <c r="C44" s="33"/>
      <c r="D44" s="33"/>
      <c r="E44" s="33"/>
      <c r="F44" s="33"/>
      <c r="G44" s="33"/>
      <c r="H44" s="9">
        <v>160</v>
      </c>
      <c r="I44" s="9">
        <v>190</v>
      </c>
      <c r="J44" s="9">
        <v>235</v>
      </c>
      <c r="K44" s="2" t="s">
        <v>17</v>
      </c>
    </row>
    <row r="45" spans="1:11" x14ac:dyDescent="0.3">
      <c r="A45" s="48" t="s">
        <v>54</v>
      </c>
      <c r="B45" s="33"/>
      <c r="C45" s="33"/>
      <c r="D45" s="33"/>
      <c r="E45" s="33"/>
      <c r="F45" s="33"/>
      <c r="G45" s="33"/>
      <c r="H45" s="9">
        <v>295</v>
      </c>
      <c r="I45" s="9">
        <v>330</v>
      </c>
      <c r="J45" s="9">
        <v>370</v>
      </c>
      <c r="K45" s="2" t="s">
        <v>17</v>
      </c>
    </row>
    <row r="46" spans="1:11" x14ac:dyDescent="0.3">
      <c r="A46" s="48" t="s">
        <v>55</v>
      </c>
      <c r="B46" s="33"/>
      <c r="C46" s="33"/>
      <c r="D46" s="33"/>
      <c r="E46" s="33"/>
      <c r="F46" s="33"/>
      <c r="G46" s="33"/>
      <c r="H46" s="9">
        <v>125</v>
      </c>
      <c r="I46" s="9" t="s">
        <v>35</v>
      </c>
      <c r="J46" s="9" t="s">
        <v>35</v>
      </c>
      <c r="K46" s="2" t="s">
        <v>45</v>
      </c>
    </row>
    <row r="47" spans="1:11" x14ac:dyDescent="0.3">
      <c r="A47" s="48" t="s">
        <v>56</v>
      </c>
      <c r="B47" s="33"/>
      <c r="C47" s="33"/>
      <c r="D47" s="33"/>
      <c r="E47" s="33"/>
      <c r="F47" s="33"/>
      <c r="G47" s="33"/>
      <c r="H47" s="9">
        <v>400</v>
      </c>
      <c r="I47" s="9" t="s">
        <v>35</v>
      </c>
      <c r="J47" s="9" t="s">
        <v>35</v>
      </c>
      <c r="K47" s="2" t="s">
        <v>45</v>
      </c>
    </row>
    <row r="48" spans="1:11" x14ac:dyDescent="0.3">
      <c r="A48" s="48" t="s">
        <v>57</v>
      </c>
      <c r="B48" s="33"/>
      <c r="C48" s="33"/>
      <c r="D48" s="33"/>
      <c r="E48" s="33"/>
      <c r="F48" s="33"/>
      <c r="G48" s="33"/>
      <c r="H48" s="11" t="s">
        <v>58</v>
      </c>
      <c r="I48" s="9" t="s">
        <v>58</v>
      </c>
      <c r="J48" s="9" t="s">
        <v>59</v>
      </c>
      <c r="K48" s="2" t="s">
        <v>45</v>
      </c>
    </row>
    <row r="49" spans="1:11" ht="15" thickBot="1" x14ac:dyDescent="0.35">
      <c r="A49" s="27" t="s">
        <v>60</v>
      </c>
      <c r="B49" s="28"/>
      <c r="C49" s="28"/>
      <c r="D49" s="28"/>
      <c r="E49" s="28"/>
      <c r="F49" s="28"/>
      <c r="G49" s="28"/>
      <c r="H49" s="12">
        <v>140</v>
      </c>
      <c r="I49" s="10">
        <v>180</v>
      </c>
      <c r="J49" s="10">
        <v>280</v>
      </c>
      <c r="K49" s="3" t="s">
        <v>17</v>
      </c>
    </row>
    <row r="50" spans="1:11" ht="15" thickBot="1" x14ac:dyDescent="0.35">
      <c r="A50" s="120" t="s">
        <v>61</v>
      </c>
      <c r="B50" s="86"/>
      <c r="C50" s="86"/>
      <c r="D50" s="86"/>
      <c r="E50" s="86"/>
      <c r="F50" s="86"/>
      <c r="G50" s="86"/>
      <c r="H50" s="86"/>
      <c r="I50" s="86"/>
      <c r="J50" s="86"/>
      <c r="K50" s="121"/>
    </row>
    <row r="51" spans="1:11" x14ac:dyDescent="0.3">
      <c r="A51" s="52" t="s">
        <v>62</v>
      </c>
      <c r="B51" s="53"/>
      <c r="C51" s="53"/>
      <c r="D51" s="53"/>
      <c r="E51" s="53"/>
      <c r="F51" s="53"/>
      <c r="G51" s="53"/>
      <c r="H51" s="8">
        <v>500</v>
      </c>
      <c r="I51" s="8">
        <v>575</v>
      </c>
      <c r="J51" s="8">
        <v>575</v>
      </c>
      <c r="K51" s="4" t="s">
        <v>37</v>
      </c>
    </row>
    <row r="52" spans="1:11" x14ac:dyDescent="0.3">
      <c r="A52" s="48" t="s">
        <v>63</v>
      </c>
      <c r="B52" s="33"/>
      <c r="C52" s="33"/>
      <c r="D52" s="33"/>
      <c r="E52" s="33"/>
      <c r="F52" s="33"/>
      <c r="G52" s="33"/>
      <c r="H52" s="9">
        <v>600</v>
      </c>
      <c r="I52" s="9">
        <v>675</v>
      </c>
      <c r="J52" s="9">
        <v>675</v>
      </c>
      <c r="K52" s="2" t="s">
        <v>37</v>
      </c>
    </row>
    <row r="53" spans="1:11" x14ac:dyDescent="0.3">
      <c r="A53" s="48" t="s">
        <v>64</v>
      </c>
      <c r="B53" s="33"/>
      <c r="C53" s="33"/>
      <c r="D53" s="33"/>
      <c r="E53" s="33"/>
      <c r="F53" s="33"/>
      <c r="G53" s="33"/>
      <c r="H53" s="9">
        <v>150</v>
      </c>
      <c r="I53" s="9">
        <v>225</v>
      </c>
      <c r="J53" s="9">
        <v>225</v>
      </c>
      <c r="K53" s="2" t="s">
        <v>37</v>
      </c>
    </row>
    <row r="54" spans="1:11" x14ac:dyDescent="0.3">
      <c r="A54" s="48" t="s">
        <v>65</v>
      </c>
      <c r="B54" s="33"/>
      <c r="C54" s="33"/>
      <c r="D54" s="33"/>
      <c r="E54" s="33"/>
      <c r="F54" s="33"/>
      <c r="G54" s="33"/>
      <c r="H54" s="9">
        <v>275</v>
      </c>
      <c r="I54" s="9">
        <v>275</v>
      </c>
      <c r="J54" s="9">
        <v>275</v>
      </c>
      <c r="K54" s="2" t="s">
        <v>37</v>
      </c>
    </row>
    <row r="55" spans="1:11" ht="15" thickBot="1" x14ac:dyDescent="0.35">
      <c r="A55" s="27" t="s">
        <v>66</v>
      </c>
      <c r="B55" s="28"/>
      <c r="C55" s="28"/>
      <c r="D55" s="28"/>
      <c r="E55" s="28"/>
      <c r="F55" s="28"/>
      <c r="G55" s="28"/>
      <c r="H55" s="10">
        <v>250</v>
      </c>
      <c r="I55" s="10">
        <v>350</v>
      </c>
      <c r="J55" s="10">
        <v>350</v>
      </c>
      <c r="K55" s="3" t="s">
        <v>37</v>
      </c>
    </row>
    <row r="56" spans="1:11" ht="15" thickBot="1" x14ac:dyDescent="0.35">
      <c r="A56" s="120" t="s">
        <v>67</v>
      </c>
      <c r="B56" s="86"/>
      <c r="C56" s="86"/>
      <c r="D56" s="86"/>
      <c r="E56" s="86"/>
      <c r="F56" s="86"/>
      <c r="G56" s="86"/>
      <c r="H56" s="86"/>
      <c r="I56" s="86"/>
      <c r="J56" s="86"/>
      <c r="K56" s="121"/>
    </row>
    <row r="57" spans="1:11" x14ac:dyDescent="0.3">
      <c r="A57" s="52" t="s">
        <v>68</v>
      </c>
      <c r="B57" s="53"/>
      <c r="C57" s="53"/>
      <c r="D57" s="53"/>
      <c r="E57" s="53"/>
      <c r="F57" s="53"/>
      <c r="G57" s="53"/>
      <c r="H57" s="8">
        <v>185</v>
      </c>
      <c r="I57" s="8" t="s">
        <v>35</v>
      </c>
      <c r="J57" s="8" t="s">
        <v>35</v>
      </c>
      <c r="K57" s="4" t="s">
        <v>37</v>
      </c>
    </row>
    <row r="58" spans="1:11" x14ac:dyDescent="0.3">
      <c r="A58" s="48" t="s">
        <v>69</v>
      </c>
      <c r="B58" s="33"/>
      <c r="C58" s="33"/>
      <c r="D58" s="33"/>
      <c r="E58" s="33"/>
      <c r="F58" s="33"/>
      <c r="G58" s="33"/>
      <c r="H58" s="9">
        <v>95</v>
      </c>
      <c r="I58" s="9" t="s">
        <v>35</v>
      </c>
      <c r="J58" s="9" t="s">
        <v>35</v>
      </c>
      <c r="K58" s="2" t="s">
        <v>37</v>
      </c>
    </row>
    <row r="59" spans="1:11" x14ac:dyDescent="0.3">
      <c r="A59" s="48" t="s">
        <v>70</v>
      </c>
      <c r="B59" s="33"/>
      <c r="C59" s="33"/>
      <c r="D59" s="33"/>
      <c r="E59" s="33"/>
      <c r="F59" s="33"/>
      <c r="G59" s="33"/>
      <c r="H59" s="9">
        <v>400</v>
      </c>
      <c r="I59" s="9" t="s">
        <v>35</v>
      </c>
      <c r="J59" s="9" t="s">
        <v>35</v>
      </c>
      <c r="K59" s="2" t="s">
        <v>17</v>
      </c>
    </row>
    <row r="60" spans="1:11" x14ac:dyDescent="0.3">
      <c r="A60" s="48" t="s">
        <v>71</v>
      </c>
      <c r="B60" s="33"/>
      <c r="C60" s="33"/>
      <c r="D60" s="33"/>
      <c r="E60" s="33"/>
      <c r="F60" s="33"/>
      <c r="G60" s="33"/>
      <c r="H60" s="9">
        <v>1000</v>
      </c>
      <c r="I60" s="9" t="s">
        <v>35</v>
      </c>
      <c r="J60" s="9" t="s">
        <v>35</v>
      </c>
      <c r="K60" s="2" t="s">
        <v>37</v>
      </c>
    </row>
    <row r="61" spans="1:11" x14ac:dyDescent="0.3">
      <c r="A61" s="48" t="s">
        <v>72</v>
      </c>
      <c r="B61" s="33"/>
      <c r="C61" s="33"/>
      <c r="D61" s="33"/>
      <c r="E61" s="33"/>
      <c r="F61" s="33"/>
      <c r="G61" s="33"/>
      <c r="H61" s="9">
        <v>600</v>
      </c>
      <c r="I61" s="9" t="s">
        <v>35</v>
      </c>
      <c r="J61" s="9" t="s">
        <v>35</v>
      </c>
      <c r="K61" s="2" t="s">
        <v>37</v>
      </c>
    </row>
    <row r="62" spans="1:11" x14ac:dyDescent="0.3">
      <c r="A62" s="48" t="s">
        <v>73</v>
      </c>
      <c r="B62" s="33"/>
      <c r="C62" s="33"/>
      <c r="D62" s="33"/>
      <c r="E62" s="33"/>
      <c r="F62" s="33"/>
      <c r="G62" s="33"/>
      <c r="H62" s="9">
        <v>750</v>
      </c>
      <c r="I62" s="9" t="s">
        <v>35</v>
      </c>
      <c r="J62" s="9" t="s">
        <v>35</v>
      </c>
      <c r="K62" s="2" t="s">
        <v>37</v>
      </c>
    </row>
    <row r="63" spans="1:11" ht="15" thickBot="1" x14ac:dyDescent="0.35">
      <c r="A63" s="27" t="s">
        <v>74</v>
      </c>
      <c r="B63" s="28"/>
      <c r="C63" s="28"/>
      <c r="D63" s="28"/>
      <c r="E63" s="28"/>
      <c r="F63" s="28"/>
      <c r="G63" s="28"/>
      <c r="H63" s="10">
        <v>400</v>
      </c>
      <c r="I63" s="10" t="s">
        <v>35</v>
      </c>
      <c r="J63" s="10" t="s">
        <v>35</v>
      </c>
      <c r="K63" s="3" t="s">
        <v>37</v>
      </c>
    </row>
    <row r="64" spans="1:11" ht="15" thickBot="1" x14ac:dyDescent="0.35">
      <c r="A64" s="120" t="s">
        <v>75</v>
      </c>
      <c r="B64" s="86"/>
      <c r="C64" s="86"/>
      <c r="D64" s="86"/>
      <c r="E64" s="86"/>
      <c r="F64" s="86"/>
      <c r="G64" s="86"/>
      <c r="H64" s="86"/>
      <c r="I64" s="86"/>
      <c r="J64" s="86"/>
      <c r="K64" s="121"/>
    </row>
    <row r="65" spans="1:11" x14ac:dyDescent="0.3">
      <c r="A65" s="52" t="s">
        <v>76</v>
      </c>
      <c r="B65" s="53"/>
      <c r="C65" s="53"/>
      <c r="D65" s="53"/>
      <c r="E65" s="53"/>
      <c r="F65" s="53"/>
      <c r="G65" s="53"/>
      <c r="H65" s="8">
        <v>25</v>
      </c>
      <c r="I65" s="8" t="s">
        <v>35</v>
      </c>
      <c r="J65" s="8" t="s">
        <v>35</v>
      </c>
      <c r="K65" s="4" t="s">
        <v>37</v>
      </c>
    </row>
    <row r="66" spans="1:11" ht="15" thickBot="1" x14ac:dyDescent="0.35">
      <c r="A66" s="27" t="s">
        <v>77</v>
      </c>
      <c r="B66" s="28"/>
      <c r="C66" s="28"/>
      <c r="D66" s="28"/>
      <c r="E66" s="28"/>
      <c r="F66" s="28"/>
      <c r="G66" s="28"/>
      <c r="H66" s="10">
        <v>110</v>
      </c>
      <c r="I66" s="10" t="s">
        <v>35</v>
      </c>
      <c r="J66" s="10" t="s">
        <v>35</v>
      </c>
      <c r="K66" s="3" t="s">
        <v>37</v>
      </c>
    </row>
    <row r="67" spans="1:11" ht="15" thickBot="1" x14ac:dyDescent="0.35">
      <c r="A67" s="120" t="s">
        <v>78</v>
      </c>
      <c r="B67" s="86"/>
      <c r="C67" s="86"/>
      <c r="D67" s="86"/>
      <c r="E67" s="86"/>
      <c r="F67" s="86"/>
      <c r="G67" s="86"/>
      <c r="H67" s="86"/>
      <c r="I67" s="86"/>
      <c r="J67" s="86"/>
      <c r="K67" s="121"/>
    </row>
    <row r="68" spans="1:11" x14ac:dyDescent="0.3">
      <c r="A68" s="52" t="s">
        <v>79</v>
      </c>
      <c r="B68" s="53"/>
      <c r="C68" s="53"/>
      <c r="D68" s="53"/>
      <c r="E68" s="53"/>
      <c r="F68" s="53"/>
      <c r="G68" s="53"/>
      <c r="H68" s="8">
        <v>425</v>
      </c>
      <c r="I68" s="8" t="s">
        <v>35</v>
      </c>
      <c r="J68" s="8" t="s">
        <v>35</v>
      </c>
      <c r="K68" s="4" t="s">
        <v>37</v>
      </c>
    </row>
    <row r="69" spans="1:11" x14ac:dyDescent="0.3">
      <c r="A69" s="48" t="s">
        <v>80</v>
      </c>
      <c r="B69" s="33"/>
      <c r="C69" s="33"/>
      <c r="D69" s="33"/>
      <c r="E69" s="33"/>
      <c r="F69" s="33"/>
      <c r="G69" s="33"/>
      <c r="H69" s="9">
        <v>300</v>
      </c>
      <c r="I69" s="9" t="s">
        <v>35</v>
      </c>
      <c r="J69" s="9" t="s">
        <v>35</v>
      </c>
      <c r="K69" s="2" t="s">
        <v>37</v>
      </c>
    </row>
    <row r="70" spans="1:11" x14ac:dyDescent="0.3">
      <c r="A70" s="48" t="s">
        <v>81</v>
      </c>
      <c r="B70" s="33"/>
      <c r="C70" s="33"/>
      <c r="D70" s="33"/>
      <c r="E70" s="33"/>
      <c r="F70" s="33"/>
      <c r="G70" s="33"/>
      <c r="H70" s="9">
        <v>1.3</v>
      </c>
      <c r="I70" s="9" t="s">
        <v>35</v>
      </c>
      <c r="J70" s="9" t="s">
        <v>35</v>
      </c>
      <c r="K70" s="2" t="s">
        <v>82</v>
      </c>
    </row>
    <row r="71" spans="1:11" x14ac:dyDescent="0.3">
      <c r="A71" s="48" t="s">
        <v>83</v>
      </c>
      <c r="B71" s="33"/>
      <c r="C71" s="33"/>
      <c r="D71" s="33"/>
      <c r="E71" s="33"/>
      <c r="F71" s="33"/>
      <c r="G71" s="33"/>
      <c r="H71" s="9">
        <v>2.1</v>
      </c>
      <c r="I71" s="9" t="s">
        <v>35</v>
      </c>
      <c r="J71" s="9" t="s">
        <v>35</v>
      </c>
      <c r="K71" s="2" t="s">
        <v>82</v>
      </c>
    </row>
    <row r="72" spans="1:11" ht="15" thickBot="1" x14ac:dyDescent="0.35">
      <c r="A72" s="27" t="s">
        <v>84</v>
      </c>
      <c r="B72" s="28"/>
      <c r="C72" s="28"/>
      <c r="D72" s="28"/>
      <c r="E72" s="28"/>
      <c r="F72" s="28"/>
      <c r="G72" s="28"/>
      <c r="H72" s="10">
        <v>300</v>
      </c>
      <c r="I72" s="10" t="s">
        <v>35</v>
      </c>
      <c r="J72" s="10" t="s">
        <v>35</v>
      </c>
      <c r="K72" s="3" t="s">
        <v>37</v>
      </c>
    </row>
    <row r="73" spans="1:11" ht="15" thickBot="1" x14ac:dyDescent="0.35">
      <c r="A73" s="120" t="s">
        <v>85</v>
      </c>
      <c r="B73" s="86"/>
      <c r="C73" s="86"/>
      <c r="D73" s="86"/>
      <c r="E73" s="86"/>
      <c r="F73" s="86"/>
      <c r="G73" s="86"/>
      <c r="H73" s="86"/>
      <c r="I73" s="86"/>
      <c r="J73" s="86"/>
      <c r="K73" s="121"/>
    </row>
    <row r="74" spans="1:11" x14ac:dyDescent="0.3">
      <c r="A74" s="52" t="s">
        <v>86</v>
      </c>
      <c r="B74" s="53"/>
      <c r="C74" s="53"/>
      <c r="D74" s="53"/>
      <c r="E74" s="53"/>
      <c r="F74" s="53"/>
      <c r="G74" s="53"/>
      <c r="H74" s="8">
        <v>175</v>
      </c>
      <c r="I74" s="53" t="s">
        <v>87</v>
      </c>
      <c r="J74" s="53"/>
      <c r="K74" s="54"/>
    </row>
    <row r="75" spans="1:11" x14ac:dyDescent="0.3">
      <c r="A75" s="48" t="s">
        <v>88</v>
      </c>
      <c r="B75" s="33"/>
      <c r="C75" s="33"/>
      <c r="D75" s="33"/>
      <c r="E75" s="33"/>
      <c r="F75" s="33"/>
      <c r="G75" s="33"/>
      <c r="H75" s="9">
        <v>175</v>
      </c>
      <c r="I75" s="33" t="s">
        <v>87</v>
      </c>
      <c r="J75" s="33"/>
      <c r="K75" s="34"/>
    </row>
    <row r="76" spans="1:11" x14ac:dyDescent="0.3">
      <c r="A76" s="48" t="s">
        <v>89</v>
      </c>
      <c r="B76" s="33"/>
      <c r="C76" s="33"/>
      <c r="D76" s="33"/>
      <c r="E76" s="33"/>
      <c r="F76" s="33"/>
      <c r="G76" s="33"/>
      <c r="H76" s="9">
        <v>225</v>
      </c>
      <c r="I76" s="33" t="s">
        <v>87</v>
      </c>
      <c r="J76" s="33"/>
      <c r="K76" s="34"/>
    </row>
    <row r="77" spans="1:11" x14ac:dyDescent="0.3">
      <c r="A77" s="48" t="s">
        <v>90</v>
      </c>
      <c r="B77" s="33"/>
      <c r="C77" s="33"/>
      <c r="D77" s="33"/>
      <c r="E77" s="33"/>
      <c r="F77" s="33"/>
      <c r="G77" s="33"/>
      <c r="H77" s="9">
        <v>175</v>
      </c>
      <c r="I77" s="33" t="s">
        <v>87</v>
      </c>
      <c r="J77" s="33"/>
      <c r="K77" s="34"/>
    </row>
    <row r="78" spans="1:11" x14ac:dyDescent="0.3">
      <c r="A78" s="48" t="s">
        <v>91</v>
      </c>
      <c r="B78" s="33"/>
      <c r="C78" s="33"/>
      <c r="D78" s="33"/>
      <c r="E78" s="33"/>
      <c r="F78" s="33"/>
      <c r="G78" s="33"/>
      <c r="H78" s="9">
        <v>200</v>
      </c>
      <c r="I78" s="33" t="s">
        <v>87</v>
      </c>
      <c r="J78" s="33"/>
      <c r="K78" s="34"/>
    </row>
    <row r="79" spans="1:11" x14ac:dyDescent="0.3">
      <c r="A79" s="48" t="s">
        <v>92</v>
      </c>
      <c r="B79" s="33"/>
      <c r="C79" s="33"/>
      <c r="D79" s="33"/>
      <c r="E79" s="33"/>
      <c r="F79" s="33"/>
      <c r="G79" s="33"/>
      <c r="H79" s="9">
        <v>225</v>
      </c>
      <c r="I79" s="33" t="s">
        <v>87</v>
      </c>
      <c r="J79" s="33"/>
      <c r="K79" s="34"/>
    </row>
    <row r="80" spans="1:11" x14ac:dyDescent="0.3">
      <c r="A80" s="48" t="s">
        <v>93</v>
      </c>
      <c r="B80" s="33"/>
      <c r="C80" s="33"/>
      <c r="D80" s="33"/>
      <c r="E80" s="33"/>
      <c r="F80" s="33"/>
      <c r="G80" s="33"/>
      <c r="H80" s="9">
        <v>275</v>
      </c>
      <c r="I80" s="33" t="s">
        <v>87</v>
      </c>
      <c r="J80" s="33"/>
      <c r="K80" s="34"/>
    </row>
    <row r="81" spans="1:11" x14ac:dyDescent="0.3">
      <c r="A81" s="48" t="s">
        <v>94</v>
      </c>
      <c r="B81" s="33"/>
      <c r="C81" s="33"/>
      <c r="D81" s="33"/>
      <c r="E81" s="33"/>
      <c r="F81" s="33"/>
      <c r="G81" s="33"/>
      <c r="H81" s="9">
        <v>50</v>
      </c>
      <c r="I81" s="33" t="s">
        <v>37</v>
      </c>
      <c r="J81" s="33"/>
      <c r="K81" s="34"/>
    </row>
    <row r="82" spans="1:11" x14ac:dyDescent="0.3">
      <c r="A82" s="48" t="s">
        <v>95</v>
      </c>
      <c r="B82" s="33"/>
      <c r="C82" s="33"/>
      <c r="D82" s="33"/>
      <c r="E82" s="33"/>
      <c r="F82" s="33"/>
      <c r="G82" s="33"/>
      <c r="H82" s="9">
        <v>225</v>
      </c>
      <c r="I82" s="33" t="s">
        <v>37</v>
      </c>
      <c r="J82" s="33"/>
      <c r="K82" s="34"/>
    </row>
    <row r="83" spans="1:11" ht="15" thickBot="1" x14ac:dyDescent="0.35">
      <c r="A83" s="27" t="s">
        <v>96</v>
      </c>
      <c r="B83" s="28"/>
      <c r="C83" s="28"/>
      <c r="D83" s="28"/>
      <c r="E83" s="28"/>
      <c r="F83" s="28"/>
      <c r="G83" s="28"/>
      <c r="H83" s="10">
        <v>18</v>
      </c>
      <c r="I83" s="28" t="s">
        <v>45</v>
      </c>
      <c r="J83" s="28"/>
      <c r="K83" s="29"/>
    </row>
    <row r="84" spans="1:11" ht="15" thickBot="1" x14ac:dyDescent="0.35">
      <c r="A84" s="120" t="s">
        <v>97</v>
      </c>
      <c r="B84" s="86"/>
      <c r="C84" s="86"/>
      <c r="D84" s="86"/>
      <c r="E84" s="86"/>
      <c r="F84" s="86"/>
      <c r="G84" s="86"/>
      <c r="H84" s="86"/>
      <c r="I84" s="86"/>
      <c r="J84" s="86"/>
      <c r="K84" s="121"/>
    </row>
    <row r="85" spans="1:11" x14ac:dyDescent="0.3">
      <c r="A85" s="52" t="s">
        <v>98</v>
      </c>
      <c r="B85" s="53"/>
      <c r="C85" s="53"/>
      <c r="D85" s="53"/>
      <c r="E85" s="53"/>
      <c r="F85" s="53"/>
      <c r="G85" s="53"/>
      <c r="H85" s="8">
        <v>8</v>
      </c>
      <c r="I85" s="53" t="s">
        <v>37</v>
      </c>
      <c r="J85" s="53"/>
      <c r="K85" s="54"/>
    </row>
    <row r="86" spans="1:11" x14ac:dyDescent="0.3">
      <c r="A86" s="48" t="s">
        <v>99</v>
      </c>
      <c r="B86" s="33"/>
      <c r="C86" s="33"/>
      <c r="D86" s="33"/>
      <c r="E86" s="33"/>
      <c r="F86" s="33"/>
      <c r="G86" s="33"/>
      <c r="H86" s="9">
        <v>22</v>
      </c>
      <c r="I86" s="33" t="s">
        <v>37</v>
      </c>
      <c r="J86" s="33"/>
      <c r="K86" s="34"/>
    </row>
    <row r="87" spans="1:11" x14ac:dyDescent="0.3">
      <c r="A87" s="48" t="s">
        <v>100</v>
      </c>
      <c r="B87" s="33"/>
      <c r="C87" s="33"/>
      <c r="D87" s="33"/>
      <c r="E87" s="33"/>
      <c r="F87" s="33"/>
      <c r="G87" s="33"/>
      <c r="H87" s="9">
        <v>2.25</v>
      </c>
      <c r="I87" s="33" t="s">
        <v>82</v>
      </c>
      <c r="J87" s="33"/>
      <c r="K87" s="34"/>
    </row>
    <row r="88" spans="1:11" x14ac:dyDescent="0.3">
      <c r="A88" s="48" t="s">
        <v>101</v>
      </c>
      <c r="B88" s="33"/>
      <c r="C88" s="33"/>
      <c r="D88" s="33"/>
      <c r="E88" s="33"/>
      <c r="F88" s="33"/>
      <c r="G88" s="33"/>
      <c r="H88" s="9">
        <v>2.9</v>
      </c>
      <c r="I88" s="33" t="s">
        <v>82</v>
      </c>
      <c r="J88" s="33"/>
      <c r="K88" s="34"/>
    </row>
    <row r="89" spans="1:11" x14ac:dyDescent="0.3">
      <c r="A89" s="48" t="s">
        <v>102</v>
      </c>
      <c r="B89" s="33"/>
      <c r="C89" s="33"/>
      <c r="D89" s="33"/>
      <c r="E89" s="33"/>
      <c r="F89" s="33"/>
      <c r="G89" s="33"/>
      <c r="H89" s="9">
        <v>1.9</v>
      </c>
      <c r="I89" s="33" t="s">
        <v>82</v>
      </c>
      <c r="J89" s="33"/>
      <c r="K89" s="34"/>
    </row>
    <row r="90" spans="1:11" x14ac:dyDescent="0.3">
      <c r="A90" s="48" t="s">
        <v>103</v>
      </c>
      <c r="B90" s="33"/>
      <c r="C90" s="33"/>
      <c r="D90" s="33"/>
      <c r="E90" s="33"/>
      <c r="F90" s="33"/>
      <c r="G90" s="33"/>
      <c r="H90" s="9">
        <v>2.75</v>
      </c>
      <c r="I90" s="33" t="s">
        <v>82</v>
      </c>
      <c r="J90" s="33"/>
      <c r="K90" s="34"/>
    </row>
    <row r="91" spans="1:11" x14ac:dyDescent="0.3">
      <c r="A91" s="48" t="s">
        <v>104</v>
      </c>
      <c r="B91" s="33"/>
      <c r="C91" s="33"/>
      <c r="D91" s="33"/>
      <c r="E91" s="33"/>
      <c r="F91" s="33"/>
      <c r="G91" s="33"/>
      <c r="H91" s="9">
        <v>0.75</v>
      </c>
      <c r="I91" s="33" t="s">
        <v>82</v>
      </c>
      <c r="J91" s="33"/>
      <c r="K91" s="34"/>
    </row>
    <row r="92" spans="1:11" x14ac:dyDescent="0.3">
      <c r="A92" s="48" t="s">
        <v>105</v>
      </c>
      <c r="B92" s="33"/>
      <c r="C92" s="33"/>
      <c r="D92" s="33"/>
      <c r="E92" s="33"/>
      <c r="F92" s="33"/>
      <c r="G92" s="33"/>
      <c r="H92" s="9">
        <v>0.95</v>
      </c>
      <c r="I92" s="33" t="s">
        <v>82</v>
      </c>
      <c r="J92" s="33"/>
      <c r="K92" s="34"/>
    </row>
    <row r="93" spans="1:11" x14ac:dyDescent="0.3">
      <c r="A93" s="48" t="s">
        <v>106</v>
      </c>
      <c r="B93" s="33"/>
      <c r="C93" s="33"/>
      <c r="D93" s="33"/>
      <c r="E93" s="33"/>
      <c r="F93" s="33"/>
      <c r="G93" s="33"/>
      <c r="H93" s="11" t="s">
        <v>353</v>
      </c>
      <c r="I93" s="33" t="s">
        <v>107</v>
      </c>
      <c r="J93" s="33"/>
      <c r="K93" s="34"/>
    </row>
    <row r="94" spans="1:11" x14ac:dyDescent="0.3">
      <c r="A94" s="48" t="s">
        <v>108</v>
      </c>
      <c r="B94" s="33"/>
      <c r="C94" s="33"/>
      <c r="D94" s="33"/>
      <c r="E94" s="33"/>
      <c r="F94" s="33"/>
      <c r="G94" s="33"/>
      <c r="H94" s="9">
        <v>100</v>
      </c>
      <c r="I94" s="33" t="s">
        <v>37</v>
      </c>
      <c r="J94" s="33"/>
      <c r="K94" s="34"/>
    </row>
    <row r="95" spans="1:11" x14ac:dyDescent="0.3">
      <c r="A95" s="48" t="s">
        <v>109</v>
      </c>
      <c r="B95" s="33"/>
      <c r="C95" s="33"/>
      <c r="D95" s="33"/>
      <c r="E95" s="33"/>
      <c r="F95" s="33"/>
      <c r="G95" s="33"/>
      <c r="H95" s="9">
        <v>50</v>
      </c>
      <c r="I95" s="33" t="s">
        <v>37</v>
      </c>
      <c r="J95" s="33"/>
      <c r="K95" s="34"/>
    </row>
    <row r="96" spans="1:11" x14ac:dyDescent="0.3">
      <c r="A96" s="48" t="s">
        <v>110</v>
      </c>
      <c r="B96" s="33"/>
      <c r="C96" s="33"/>
      <c r="D96" s="33"/>
      <c r="E96" s="33"/>
      <c r="F96" s="33"/>
      <c r="G96" s="33"/>
      <c r="H96" s="9">
        <v>15</v>
      </c>
      <c r="I96" s="33" t="s">
        <v>37</v>
      </c>
      <c r="J96" s="33"/>
      <c r="K96" s="34"/>
    </row>
    <row r="97" spans="1:11" ht="15" thickBot="1" x14ac:dyDescent="0.35">
      <c r="A97" s="27" t="s">
        <v>111</v>
      </c>
      <c r="B97" s="28"/>
      <c r="C97" s="28"/>
      <c r="D97" s="28"/>
      <c r="E97" s="28"/>
      <c r="F97" s="28"/>
      <c r="G97" s="28"/>
      <c r="H97" s="10">
        <v>100</v>
      </c>
      <c r="I97" s="28" t="s">
        <v>37</v>
      </c>
      <c r="J97" s="28"/>
      <c r="K97" s="29"/>
    </row>
    <row r="98" spans="1:11" ht="15" thickBot="1" x14ac:dyDescent="0.35">
      <c r="A98" s="120" t="s">
        <v>112</v>
      </c>
      <c r="B98" s="86"/>
      <c r="C98" s="86"/>
      <c r="D98" s="86"/>
      <c r="E98" s="86"/>
      <c r="F98" s="86"/>
      <c r="G98" s="86"/>
      <c r="H98" s="86"/>
      <c r="I98" s="86"/>
      <c r="J98" s="86"/>
      <c r="K98" s="121"/>
    </row>
    <row r="99" spans="1:11" x14ac:dyDescent="0.3">
      <c r="A99" s="52" t="s">
        <v>113</v>
      </c>
      <c r="B99" s="53"/>
      <c r="C99" s="53"/>
      <c r="D99" s="53"/>
      <c r="E99" s="53"/>
      <c r="F99" s="53"/>
      <c r="G99" s="53"/>
      <c r="H99" s="8">
        <v>125</v>
      </c>
      <c r="I99" s="53" t="s">
        <v>37</v>
      </c>
      <c r="J99" s="53"/>
      <c r="K99" s="54"/>
    </row>
    <row r="100" spans="1:11" x14ac:dyDescent="0.3">
      <c r="A100" s="48" t="s">
        <v>114</v>
      </c>
      <c r="B100" s="33"/>
      <c r="C100" s="33"/>
      <c r="D100" s="33"/>
      <c r="E100" s="33"/>
      <c r="F100" s="33"/>
      <c r="G100" s="33"/>
      <c r="H100" s="9">
        <v>150</v>
      </c>
      <c r="I100" s="33" t="s">
        <v>37</v>
      </c>
      <c r="J100" s="33"/>
      <c r="K100" s="34"/>
    </row>
    <row r="101" spans="1:11" x14ac:dyDescent="0.3">
      <c r="A101" s="48" t="s">
        <v>115</v>
      </c>
      <c r="B101" s="33"/>
      <c r="C101" s="33"/>
      <c r="D101" s="33"/>
      <c r="E101" s="33"/>
      <c r="F101" s="33"/>
      <c r="G101" s="33"/>
      <c r="H101" s="9">
        <v>175</v>
      </c>
      <c r="I101" s="33" t="s">
        <v>37</v>
      </c>
      <c r="J101" s="33"/>
      <c r="K101" s="34"/>
    </row>
    <row r="102" spans="1:11" x14ac:dyDescent="0.3">
      <c r="A102" s="48" t="s">
        <v>116</v>
      </c>
      <c r="B102" s="33"/>
      <c r="C102" s="33"/>
      <c r="D102" s="33"/>
      <c r="E102" s="33"/>
      <c r="F102" s="33"/>
      <c r="G102" s="33"/>
      <c r="H102" s="9">
        <v>225</v>
      </c>
      <c r="I102" s="33" t="s">
        <v>37</v>
      </c>
      <c r="J102" s="33"/>
      <c r="K102" s="34"/>
    </row>
    <row r="103" spans="1:11" x14ac:dyDescent="0.3">
      <c r="A103" s="48" t="s">
        <v>117</v>
      </c>
      <c r="B103" s="33"/>
      <c r="C103" s="33"/>
      <c r="D103" s="33"/>
      <c r="E103" s="33"/>
      <c r="F103" s="33"/>
      <c r="G103" s="33"/>
      <c r="H103" s="9">
        <v>10</v>
      </c>
      <c r="I103" s="33" t="s">
        <v>37</v>
      </c>
      <c r="J103" s="33"/>
      <c r="K103" s="34"/>
    </row>
    <row r="104" spans="1:11" x14ac:dyDescent="0.3">
      <c r="A104" s="48" t="s">
        <v>118</v>
      </c>
      <c r="B104" s="33"/>
      <c r="C104" s="33"/>
      <c r="D104" s="33"/>
      <c r="E104" s="33"/>
      <c r="F104" s="33"/>
      <c r="G104" s="33"/>
      <c r="H104" s="9">
        <v>5</v>
      </c>
      <c r="I104" s="33" t="s">
        <v>37</v>
      </c>
      <c r="J104" s="33"/>
      <c r="K104" s="34"/>
    </row>
    <row r="105" spans="1:11" x14ac:dyDescent="0.3">
      <c r="A105" s="48" t="s">
        <v>119</v>
      </c>
      <c r="B105" s="33"/>
      <c r="C105" s="33"/>
      <c r="D105" s="33"/>
      <c r="E105" s="33"/>
      <c r="F105" s="33"/>
      <c r="G105" s="33"/>
      <c r="H105" s="9">
        <v>150</v>
      </c>
      <c r="I105" s="33" t="s">
        <v>37</v>
      </c>
      <c r="J105" s="33"/>
      <c r="K105" s="34"/>
    </row>
    <row r="106" spans="1:11" ht="15" thickBot="1" x14ac:dyDescent="0.35">
      <c r="A106" s="27" t="s">
        <v>120</v>
      </c>
      <c r="B106" s="28"/>
      <c r="C106" s="28"/>
      <c r="D106" s="28"/>
      <c r="E106" s="28"/>
      <c r="F106" s="28"/>
      <c r="G106" s="28"/>
      <c r="H106" s="10">
        <v>275</v>
      </c>
      <c r="I106" s="28" t="s">
        <v>37</v>
      </c>
      <c r="J106" s="28"/>
      <c r="K106" s="29"/>
    </row>
    <row r="107" spans="1:11" ht="15" thickBot="1" x14ac:dyDescent="0.35">
      <c r="A107" s="120" t="s">
        <v>121</v>
      </c>
      <c r="B107" s="86"/>
      <c r="C107" s="86"/>
      <c r="D107" s="86"/>
      <c r="E107" s="86"/>
      <c r="F107" s="86"/>
      <c r="G107" s="86"/>
      <c r="H107" s="86"/>
      <c r="I107" s="86"/>
      <c r="J107" s="86"/>
      <c r="K107" s="121"/>
    </row>
    <row r="108" spans="1:11" x14ac:dyDescent="0.3">
      <c r="A108" s="52" t="s">
        <v>122</v>
      </c>
      <c r="B108" s="53"/>
      <c r="C108" s="53"/>
      <c r="D108" s="53"/>
      <c r="E108" s="53"/>
      <c r="F108" s="53"/>
      <c r="G108" s="53"/>
      <c r="H108" s="8">
        <v>500</v>
      </c>
      <c r="I108" s="53" t="s">
        <v>37</v>
      </c>
      <c r="J108" s="53"/>
      <c r="K108" s="54"/>
    </row>
    <row r="109" spans="1:11" x14ac:dyDescent="0.3">
      <c r="A109" s="48" t="s">
        <v>123</v>
      </c>
      <c r="B109" s="33"/>
      <c r="C109" s="33"/>
      <c r="D109" s="33"/>
      <c r="E109" s="33"/>
      <c r="F109" s="33"/>
      <c r="G109" s="33"/>
      <c r="H109" s="9">
        <v>75</v>
      </c>
      <c r="I109" s="33" t="s">
        <v>124</v>
      </c>
      <c r="J109" s="33"/>
      <c r="K109" s="34"/>
    </row>
    <row r="110" spans="1:11" x14ac:dyDescent="0.3">
      <c r="A110" s="48" t="s">
        <v>125</v>
      </c>
      <c r="B110" s="33"/>
      <c r="C110" s="33"/>
      <c r="D110" s="33"/>
      <c r="E110" s="33"/>
      <c r="F110" s="33"/>
      <c r="G110" s="33"/>
      <c r="H110" s="9">
        <v>85</v>
      </c>
      <c r="I110" s="33" t="s">
        <v>37</v>
      </c>
      <c r="J110" s="33"/>
      <c r="K110" s="34"/>
    </row>
    <row r="111" spans="1:11" x14ac:dyDescent="0.3">
      <c r="A111" s="48" t="s">
        <v>126</v>
      </c>
      <c r="B111" s="33"/>
      <c r="C111" s="33"/>
      <c r="D111" s="33"/>
      <c r="E111" s="33"/>
      <c r="F111" s="33"/>
      <c r="G111" s="33"/>
      <c r="H111" s="9">
        <v>40</v>
      </c>
      <c r="I111" s="33" t="s">
        <v>37</v>
      </c>
      <c r="J111" s="33"/>
      <c r="K111" s="34"/>
    </row>
    <row r="112" spans="1:11" x14ac:dyDescent="0.3">
      <c r="A112" s="48" t="s">
        <v>127</v>
      </c>
      <c r="B112" s="33"/>
      <c r="C112" s="33"/>
      <c r="D112" s="33"/>
      <c r="E112" s="33"/>
      <c r="F112" s="33"/>
      <c r="G112" s="33"/>
      <c r="H112" s="9">
        <v>180</v>
      </c>
      <c r="I112" s="33" t="s">
        <v>17</v>
      </c>
      <c r="J112" s="33"/>
      <c r="K112" s="34"/>
    </row>
    <row r="113" spans="1:11" x14ac:dyDescent="0.3">
      <c r="A113" s="48" t="s">
        <v>128</v>
      </c>
      <c r="B113" s="33"/>
      <c r="C113" s="33"/>
      <c r="D113" s="33"/>
      <c r="E113" s="33"/>
      <c r="F113" s="33"/>
      <c r="G113" s="33"/>
      <c r="H113" s="9">
        <v>90</v>
      </c>
      <c r="I113" s="33" t="s">
        <v>124</v>
      </c>
      <c r="J113" s="33"/>
      <c r="K113" s="34"/>
    </row>
    <row r="114" spans="1:11" x14ac:dyDescent="0.3">
      <c r="A114" s="48" t="s">
        <v>129</v>
      </c>
      <c r="B114" s="33"/>
      <c r="C114" s="33"/>
      <c r="D114" s="33"/>
      <c r="E114" s="33"/>
      <c r="F114" s="33"/>
      <c r="G114" s="33"/>
      <c r="H114" s="9">
        <v>190</v>
      </c>
      <c r="I114" s="33" t="s">
        <v>37</v>
      </c>
      <c r="J114" s="33"/>
      <c r="K114" s="34"/>
    </row>
    <row r="115" spans="1:11" x14ac:dyDescent="0.3">
      <c r="A115" s="48" t="s">
        <v>130</v>
      </c>
      <c r="B115" s="33"/>
      <c r="C115" s="33"/>
      <c r="D115" s="33"/>
      <c r="E115" s="33"/>
      <c r="F115" s="33"/>
      <c r="G115" s="33"/>
      <c r="H115" s="9">
        <v>1000</v>
      </c>
      <c r="I115" s="33" t="s">
        <v>37</v>
      </c>
      <c r="J115" s="33"/>
      <c r="K115" s="34"/>
    </row>
    <row r="116" spans="1:11" ht="15" thickBot="1" x14ac:dyDescent="0.35">
      <c r="A116" s="27" t="s">
        <v>131</v>
      </c>
      <c r="B116" s="28"/>
      <c r="C116" s="28"/>
      <c r="D116" s="28"/>
      <c r="E116" s="28"/>
      <c r="F116" s="28"/>
      <c r="G116" s="28"/>
      <c r="H116" s="10">
        <v>160</v>
      </c>
      <c r="I116" s="28" t="s">
        <v>37</v>
      </c>
      <c r="J116" s="28"/>
      <c r="K116" s="29"/>
    </row>
    <row r="117" spans="1:11" ht="15" thickBot="1" x14ac:dyDescent="0.35">
      <c r="A117" s="120" t="s">
        <v>132</v>
      </c>
      <c r="B117" s="86"/>
      <c r="C117" s="86"/>
      <c r="D117" s="86"/>
      <c r="E117" s="86"/>
      <c r="F117" s="86"/>
      <c r="G117" s="86"/>
      <c r="H117" s="86"/>
      <c r="I117" s="86"/>
      <c r="J117" s="86"/>
      <c r="K117" s="121"/>
    </row>
    <row r="118" spans="1:11" x14ac:dyDescent="0.3">
      <c r="A118" s="52" t="s">
        <v>133</v>
      </c>
      <c r="B118" s="53"/>
      <c r="C118" s="53"/>
      <c r="D118" s="53"/>
      <c r="E118" s="53"/>
      <c r="F118" s="53"/>
      <c r="G118" s="53"/>
      <c r="H118" s="8">
        <v>50</v>
      </c>
      <c r="I118" s="53" t="s">
        <v>37</v>
      </c>
      <c r="J118" s="53"/>
      <c r="K118" s="54"/>
    </row>
    <row r="119" spans="1:11" x14ac:dyDescent="0.3">
      <c r="A119" s="48" t="s">
        <v>134</v>
      </c>
      <c r="B119" s="33"/>
      <c r="C119" s="33"/>
      <c r="D119" s="33"/>
      <c r="E119" s="33"/>
      <c r="F119" s="33"/>
      <c r="G119" s="33"/>
      <c r="H119" s="9">
        <v>250</v>
      </c>
      <c r="I119" s="33" t="s">
        <v>37</v>
      </c>
      <c r="J119" s="33"/>
      <c r="K119" s="34"/>
    </row>
    <row r="120" spans="1:11" x14ac:dyDescent="0.3">
      <c r="A120" s="48" t="s">
        <v>135</v>
      </c>
      <c r="B120" s="33"/>
      <c r="C120" s="33"/>
      <c r="D120" s="33"/>
      <c r="E120" s="33"/>
      <c r="F120" s="33"/>
      <c r="G120" s="33"/>
      <c r="H120" s="9">
        <v>250</v>
      </c>
      <c r="I120" s="33" t="s">
        <v>37</v>
      </c>
      <c r="J120" s="33"/>
      <c r="K120" s="34"/>
    </row>
    <row r="121" spans="1:11" x14ac:dyDescent="0.3">
      <c r="A121" s="48" t="s">
        <v>136</v>
      </c>
      <c r="B121" s="33"/>
      <c r="C121" s="33"/>
      <c r="D121" s="33"/>
      <c r="E121" s="33"/>
      <c r="F121" s="33"/>
      <c r="G121" s="33"/>
      <c r="H121" s="9">
        <v>50</v>
      </c>
      <c r="I121" s="33" t="s">
        <v>137</v>
      </c>
      <c r="J121" s="33"/>
      <c r="K121" s="34"/>
    </row>
    <row r="122" spans="1:11" x14ac:dyDescent="0.3">
      <c r="A122" s="48" t="s">
        <v>138</v>
      </c>
      <c r="B122" s="33"/>
      <c r="C122" s="33"/>
      <c r="D122" s="33"/>
      <c r="E122" s="33"/>
      <c r="F122" s="33"/>
      <c r="G122" s="33"/>
      <c r="H122" s="11">
        <v>50</v>
      </c>
      <c r="I122" s="33" t="s">
        <v>37</v>
      </c>
      <c r="J122" s="33"/>
      <c r="K122" s="34"/>
    </row>
    <row r="123" spans="1:11" x14ac:dyDescent="0.3">
      <c r="A123" s="48" t="s">
        <v>139</v>
      </c>
      <c r="B123" s="33"/>
      <c r="C123" s="33"/>
      <c r="D123" s="33"/>
      <c r="E123" s="33"/>
      <c r="F123" s="33"/>
      <c r="G123" s="33"/>
      <c r="H123" s="9">
        <v>175</v>
      </c>
      <c r="I123" s="33" t="s">
        <v>37</v>
      </c>
      <c r="J123" s="33"/>
      <c r="K123" s="34"/>
    </row>
    <row r="124" spans="1:11" ht="15" customHeight="1" x14ac:dyDescent="0.3">
      <c r="A124" s="48" t="s">
        <v>140</v>
      </c>
      <c r="B124" s="33"/>
      <c r="C124" s="33"/>
      <c r="D124" s="33"/>
      <c r="E124" s="33"/>
      <c r="F124" s="33"/>
      <c r="G124" s="33"/>
      <c r="H124" s="11" t="s">
        <v>353</v>
      </c>
      <c r="I124" s="33" t="s">
        <v>107</v>
      </c>
      <c r="J124" s="33"/>
      <c r="K124" s="34"/>
    </row>
    <row r="125" spans="1:11" x14ac:dyDescent="0.3">
      <c r="A125" s="48" t="s">
        <v>141</v>
      </c>
      <c r="B125" s="33"/>
      <c r="C125" s="33"/>
      <c r="D125" s="33"/>
      <c r="E125" s="33"/>
      <c r="F125" s="33"/>
      <c r="G125" s="33"/>
      <c r="H125" s="9">
        <v>250</v>
      </c>
      <c r="I125" s="33" t="s">
        <v>37</v>
      </c>
      <c r="J125" s="33"/>
      <c r="K125" s="34"/>
    </row>
    <row r="126" spans="1:11" x14ac:dyDescent="0.3">
      <c r="A126" s="48" t="s">
        <v>142</v>
      </c>
      <c r="B126" s="33"/>
      <c r="C126" s="33"/>
      <c r="D126" s="33"/>
      <c r="E126" s="33"/>
      <c r="F126" s="33"/>
      <c r="G126" s="33"/>
      <c r="H126" s="11">
        <v>20</v>
      </c>
      <c r="I126" s="33" t="s">
        <v>37</v>
      </c>
      <c r="J126" s="33"/>
      <c r="K126" s="34"/>
    </row>
    <row r="127" spans="1:11" x14ac:dyDescent="0.3">
      <c r="A127" s="48" t="s">
        <v>143</v>
      </c>
      <c r="B127" s="33"/>
      <c r="C127" s="33"/>
      <c r="D127" s="33"/>
      <c r="E127" s="33"/>
      <c r="F127" s="33"/>
      <c r="G127" s="33"/>
      <c r="H127" s="11">
        <v>35</v>
      </c>
      <c r="I127" s="33" t="s">
        <v>37</v>
      </c>
      <c r="J127" s="33"/>
      <c r="K127" s="34"/>
    </row>
    <row r="128" spans="1:11" x14ac:dyDescent="0.3">
      <c r="A128" s="48" t="s">
        <v>144</v>
      </c>
      <c r="B128" s="33"/>
      <c r="C128" s="33"/>
      <c r="D128" s="33"/>
      <c r="E128" s="33"/>
      <c r="F128" s="33"/>
      <c r="G128" s="33"/>
      <c r="H128" s="11">
        <v>45</v>
      </c>
      <c r="I128" s="33" t="s">
        <v>37</v>
      </c>
      <c r="J128" s="33"/>
      <c r="K128" s="34"/>
    </row>
    <row r="129" spans="1:11" x14ac:dyDescent="0.3">
      <c r="A129" s="48" t="s">
        <v>145</v>
      </c>
      <c r="B129" s="33"/>
      <c r="C129" s="33"/>
      <c r="D129" s="33"/>
      <c r="E129" s="33"/>
      <c r="F129" s="33"/>
      <c r="G129" s="33"/>
      <c r="H129" s="11">
        <v>55</v>
      </c>
      <c r="I129" s="33" t="s">
        <v>37</v>
      </c>
      <c r="J129" s="33"/>
      <c r="K129" s="34"/>
    </row>
    <row r="130" spans="1:11" x14ac:dyDescent="0.3">
      <c r="A130" s="48" t="s">
        <v>146</v>
      </c>
      <c r="B130" s="33"/>
      <c r="C130" s="33"/>
      <c r="D130" s="33"/>
      <c r="E130" s="33"/>
      <c r="F130" s="33"/>
      <c r="G130" s="33"/>
      <c r="H130" s="9">
        <v>100</v>
      </c>
      <c r="I130" s="33" t="s">
        <v>37</v>
      </c>
      <c r="J130" s="33"/>
      <c r="K130" s="34"/>
    </row>
    <row r="131" spans="1:11" x14ac:dyDescent="0.3">
      <c r="A131" s="48" t="s">
        <v>147</v>
      </c>
      <c r="B131" s="33"/>
      <c r="C131" s="33"/>
      <c r="D131" s="33"/>
      <c r="E131" s="33"/>
      <c r="F131" s="33"/>
      <c r="G131" s="33"/>
      <c r="H131" s="11">
        <v>40</v>
      </c>
      <c r="I131" s="33" t="s">
        <v>37</v>
      </c>
      <c r="J131" s="33"/>
      <c r="K131" s="34"/>
    </row>
    <row r="132" spans="1:11" x14ac:dyDescent="0.3">
      <c r="A132" s="48" t="s">
        <v>148</v>
      </c>
      <c r="B132" s="33"/>
      <c r="C132" s="33"/>
      <c r="D132" s="33"/>
      <c r="E132" s="33"/>
      <c r="F132" s="33"/>
      <c r="G132" s="33"/>
      <c r="H132" s="11">
        <v>65</v>
      </c>
      <c r="I132" s="33" t="s">
        <v>37</v>
      </c>
      <c r="J132" s="33"/>
      <c r="K132" s="34"/>
    </row>
    <row r="133" spans="1:11" x14ac:dyDescent="0.3">
      <c r="A133" s="48" t="s">
        <v>149</v>
      </c>
      <c r="B133" s="33"/>
      <c r="C133" s="33"/>
      <c r="D133" s="33"/>
      <c r="E133" s="33"/>
      <c r="F133" s="33"/>
      <c r="G133" s="33"/>
      <c r="H133" s="11">
        <v>35</v>
      </c>
      <c r="I133" s="33" t="s">
        <v>37</v>
      </c>
      <c r="J133" s="33"/>
      <c r="K133" s="34"/>
    </row>
    <row r="134" spans="1:11" x14ac:dyDescent="0.3">
      <c r="A134" s="48" t="s">
        <v>150</v>
      </c>
      <c r="B134" s="33"/>
      <c r="C134" s="33"/>
      <c r="D134" s="33"/>
      <c r="E134" s="33"/>
      <c r="F134" s="33"/>
      <c r="G134" s="33"/>
      <c r="H134" s="11">
        <v>75</v>
      </c>
      <c r="I134" s="33" t="s">
        <v>37</v>
      </c>
      <c r="J134" s="33"/>
      <c r="K134" s="34"/>
    </row>
    <row r="135" spans="1:11" x14ac:dyDescent="0.3">
      <c r="A135" s="48" t="s">
        <v>151</v>
      </c>
      <c r="B135" s="33"/>
      <c r="C135" s="33"/>
      <c r="D135" s="33"/>
      <c r="E135" s="33"/>
      <c r="F135" s="33"/>
      <c r="G135" s="33"/>
      <c r="H135" s="9">
        <v>325</v>
      </c>
      <c r="I135" s="33" t="s">
        <v>37</v>
      </c>
      <c r="J135" s="33"/>
      <c r="K135" s="34"/>
    </row>
    <row r="136" spans="1:11" ht="15" thickBot="1" x14ac:dyDescent="0.35">
      <c r="A136" s="27" t="s">
        <v>152</v>
      </c>
      <c r="B136" s="28"/>
      <c r="C136" s="28"/>
      <c r="D136" s="28"/>
      <c r="E136" s="28"/>
      <c r="F136" s="28"/>
      <c r="G136" s="28"/>
      <c r="H136" s="12" t="s">
        <v>353</v>
      </c>
      <c r="I136" s="28" t="s">
        <v>107</v>
      </c>
      <c r="J136" s="28"/>
      <c r="K136" s="29"/>
    </row>
    <row r="137" spans="1:11" ht="15" thickBot="1" x14ac:dyDescent="0.35">
      <c r="A137" s="120" t="s">
        <v>153</v>
      </c>
      <c r="B137" s="86"/>
      <c r="C137" s="86"/>
      <c r="D137" s="86"/>
      <c r="E137" s="86"/>
      <c r="F137" s="86"/>
      <c r="G137" s="86"/>
      <c r="H137" s="86"/>
      <c r="I137" s="86"/>
      <c r="J137" s="86"/>
      <c r="K137" s="121"/>
    </row>
    <row r="138" spans="1:11" x14ac:dyDescent="0.3">
      <c r="A138" s="88" t="s">
        <v>154</v>
      </c>
      <c r="B138" s="60"/>
      <c r="C138" s="60"/>
      <c r="D138" s="60"/>
      <c r="E138" s="60"/>
      <c r="F138" s="60"/>
      <c r="G138" s="60"/>
      <c r="H138" s="13">
        <v>48</v>
      </c>
      <c r="I138" s="60" t="s">
        <v>45</v>
      </c>
      <c r="J138" s="60"/>
      <c r="K138" s="61"/>
    </row>
    <row r="139" spans="1:11" x14ac:dyDescent="0.3">
      <c r="A139" s="74" t="s">
        <v>155</v>
      </c>
      <c r="B139" s="58"/>
      <c r="C139" s="58"/>
      <c r="D139" s="58"/>
      <c r="E139" s="58"/>
      <c r="F139" s="58"/>
      <c r="G139" s="58"/>
      <c r="H139" s="14">
        <v>275</v>
      </c>
      <c r="I139" s="58" t="s">
        <v>45</v>
      </c>
      <c r="J139" s="58"/>
      <c r="K139" s="59"/>
    </row>
    <row r="140" spans="1:11" x14ac:dyDescent="0.3">
      <c r="A140" s="74" t="s">
        <v>156</v>
      </c>
      <c r="B140" s="58"/>
      <c r="C140" s="58"/>
      <c r="D140" s="58"/>
      <c r="E140" s="58"/>
      <c r="F140" s="58"/>
      <c r="G140" s="58"/>
      <c r="H140" s="14">
        <v>80</v>
      </c>
      <c r="I140" s="58" t="s">
        <v>45</v>
      </c>
      <c r="J140" s="58"/>
      <c r="K140" s="59"/>
    </row>
    <row r="141" spans="1:11" x14ac:dyDescent="0.3">
      <c r="A141" s="74" t="s">
        <v>157</v>
      </c>
      <c r="B141" s="58"/>
      <c r="C141" s="58"/>
      <c r="D141" s="58"/>
      <c r="E141" s="58"/>
      <c r="F141" s="58"/>
      <c r="G141" s="58"/>
      <c r="H141" s="14">
        <v>85</v>
      </c>
      <c r="I141" s="58" t="s">
        <v>45</v>
      </c>
      <c r="J141" s="58"/>
      <c r="K141" s="59"/>
    </row>
    <row r="142" spans="1:11" x14ac:dyDescent="0.3">
      <c r="A142" s="74" t="s">
        <v>158</v>
      </c>
      <c r="B142" s="58"/>
      <c r="C142" s="58"/>
      <c r="D142" s="58"/>
      <c r="E142" s="58"/>
      <c r="F142" s="58"/>
      <c r="G142" s="58"/>
      <c r="H142" s="14">
        <v>128</v>
      </c>
      <c r="I142" s="58" t="s">
        <v>45</v>
      </c>
      <c r="J142" s="58"/>
      <c r="K142" s="59"/>
    </row>
    <row r="143" spans="1:11" x14ac:dyDescent="0.3">
      <c r="A143" s="74" t="s">
        <v>159</v>
      </c>
      <c r="B143" s="58"/>
      <c r="C143" s="58"/>
      <c r="D143" s="58"/>
      <c r="E143" s="58"/>
      <c r="F143" s="58"/>
      <c r="G143" s="58"/>
      <c r="H143" s="14">
        <v>475</v>
      </c>
      <c r="I143" s="58" t="s">
        <v>45</v>
      </c>
      <c r="J143" s="58"/>
      <c r="K143" s="59"/>
    </row>
    <row r="144" spans="1:11" x14ac:dyDescent="0.3">
      <c r="A144" s="74" t="s">
        <v>160</v>
      </c>
      <c r="B144" s="58"/>
      <c r="C144" s="58"/>
      <c r="D144" s="58"/>
      <c r="E144" s="58"/>
      <c r="F144" s="58"/>
      <c r="G144" s="58"/>
      <c r="H144" s="14">
        <v>330</v>
      </c>
      <c r="I144" s="58" t="s">
        <v>45</v>
      </c>
      <c r="J144" s="58"/>
      <c r="K144" s="59"/>
    </row>
    <row r="145" spans="1:11" x14ac:dyDescent="0.3">
      <c r="A145" s="74" t="s">
        <v>161</v>
      </c>
      <c r="B145" s="58"/>
      <c r="C145" s="58"/>
      <c r="D145" s="58"/>
      <c r="E145" s="58"/>
      <c r="F145" s="58"/>
      <c r="G145" s="58"/>
      <c r="H145" s="14">
        <v>110</v>
      </c>
      <c r="I145" s="58" t="s">
        <v>45</v>
      </c>
      <c r="J145" s="58"/>
      <c r="K145" s="59"/>
    </row>
    <row r="146" spans="1:11" x14ac:dyDescent="0.3">
      <c r="A146" s="74" t="s">
        <v>162</v>
      </c>
      <c r="B146" s="58"/>
      <c r="C146" s="58"/>
      <c r="D146" s="58"/>
      <c r="E146" s="58"/>
      <c r="F146" s="58"/>
      <c r="G146" s="58"/>
      <c r="H146" s="14">
        <v>100</v>
      </c>
      <c r="I146" s="58" t="s">
        <v>45</v>
      </c>
      <c r="J146" s="58"/>
      <c r="K146" s="59"/>
    </row>
    <row r="147" spans="1:11" x14ac:dyDescent="0.3">
      <c r="A147" s="74" t="s">
        <v>163</v>
      </c>
      <c r="B147" s="58"/>
      <c r="C147" s="58"/>
      <c r="D147" s="58"/>
      <c r="E147" s="58"/>
      <c r="F147" s="58"/>
      <c r="G147" s="58"/>
      <c r="H147" s="14">
        <v>95</v>
      </c>
      <c r="I147" s="58" t="s">
        <v>45</v>
      </c>
      <c r="J147" s="58"/>
      <c r="K147" s="59"/>
    </row>
    <row r="148" spans="1:11" x14ac:dyDescent="0.3">
      <c r="A148" s="74" t="s">
        <v>164</v>
      </c>
      <c r="B148" s="58"/>
      <c r="C148" s="58"/>
      <c r="D148" s="58"/>
      <c r="E148" s="58"/>
      <c r="F148" s="58"/>
      <c r="G148" s="58"/>
      <c r="H148" s="14">
        <v>90</v>
      </c>
      <c r="I148" s="58" t="s">
        <v>45</v>
      </c>
      <c r="J148" s="58"/>
      <c r="K148" s="59"/>
    </row>
    <row r="149" spans="1:11" x14ac:dyDescent="0.3">
      <c r="A149" s="74" t="s">
        <v>165</v>
      </c>
      <c r="B149" s="58"/>
      <c r="C149" s="58"/>
      <c r="D149" s="58"/>
      <c r="E149" s="58"/>
      <c r="F149" s="58"/>
      <c r="G149" s="58"/>
      <c r="H149" s="14">
        <v>35</v>
      </c>
      <c r="I149" s="58" t="s">
        <v>45</v>
      </c>
      <c r="J149" s="58"/>
      <c r="K149" s="59"/>
    </row>
    <row r="150" spans="1:11" x14ac:dyDescent="0.3">
      <c r="A150" s="74" t="s">
        <v>166</v>
      </c>
      <c r="B150" s="58"/>
      <c r="C150" s="58"/>
      <c r="D150" s="58"/>
      <c r="E150" s="58"/>
      <c r="F150" s="58"/>
      <c r="G150" s="58"/>
      <c r="H150" s="14">
        <v>18</v>
      </c>
      <c r="I150" s="58" t="s">
        <v>45</v>
      </c>
      <c r="J150" s="58"/>
      <c r="K150" s="59"/>
    </row>
    <row r="151" spans="1:11" x14ac:dyDescent="0.3">
      <c r="A151" s="74" t="s">
        <v>167</v>
      </c>
      <c r="B151" s="58"/>
      <c r="C151" s="58"/>
      <c r="D151" s="58"/>
      <c r="E151" s="58"/>
      <c r="F151" s="58"/>
      <c r="G151" s="58"/>
      <c r="H151" s="14">
        <v>415</v>
      </c>
      <c r="I151" s="58" t="s">
        <v>45</v>
      </c>
      <c r="J151" s="58"/>
      <c r="K151" s="59"/>
    </row>
    <row r="152" spans="1:11" x14ac:dyDescent="0.3">
      <c r="A152" s="74" t="s">
        <v>168</v>
      </c>
      <c r="B152" s="58"/>
      <c r="C152" s="58"/>
      <c r="D152" s="58"/>
      <c r="E152" s="58"/>
      <c r="F152" s="58"/>
      <c r="G152" s="58"/>
      <c r="H152" s="14">
        <v>450</v>
      </c>
      <c r="I152" s="58" t="s">
        <v>45</v>
      </c>
      <c r="J152" s="58"/>
      <c r="K152" s="59"/>
    </row>
    <row r="153" spans="1:11" x14ac:dyDescent="0.3">
      <c r="A153" s="48" t="s">
        <v>169</v>
      </c>
      <c r="B153" s="33"/>
      <c r="C153" s="33"/>
      <c r="D153" s="33"/>
      <c r="E153" s="33"/>
      <c r="F153" s="33"/>
      <c r="G153" s="33"/>
      <c r="H153" s="11">
        <v>48</v>
      </c>
      <c r="I153" s="33" t="s">
        <v>37</v>
      </c>
      <c r="J153" s="33"/>
      <c r="K153" s="34"/>
    </row>
    <row r="154" spans="1:11" x14ac:dyDescent="0.3">
      <c r="A154" s="74" t="s">
        <v>170</v>
      </c>
      <c r="B154" s="58"/>
      <c r="C154" s="58"/>
      <c r="D154" s="58"/>
      <c r="E154" s="58"/>
      <c r="F154" s="58"/>
      <c r="G154" s="58"/>
      <c r="H154" s="14">
        <v>185</v>
      </c>
      <c r="I154" s="58" t="s">
        <v>45</v>
      </c>
      <c r="J154" s="58"/>
      <c r="K154" s="59"/>
    </row>
    <row r="155" spans="1:11" x14ac:dyDescent="0.3">
      <c r="A155" s="74" t="s">
        <v>171</v>
      </c>
      <c r="B155" s="58"/>
      <c r="C155" s="58"/>
      <c r="D155" s="58"/>
      <c r="E155" s="58"/>
      <c r="F155" s="58"/>
      <c r="G155" s="58"/>
      <c r="H155" s="14">
        <v>112</v>
      </c>
      <c r="I155" s="58" t="s">
        <v>45</v>
      </c>
      <c r="J155" s="58"/>
      <c r="K155" s="59"/>
    </row>
    <row r="156" spans="1:11" x14ac:dyDescent="0.3">
      <c r="A156" s="48" t="s">
        <v>172</v>
      </c>
      <c r="B156" s="33"/>
      <c r="C156" s="33"/>
      <c r="D156" s="33"/>
      <c r="E156" s="33"/>
      <c r="F156" s="33"/>
      <c r="G156" s="33"/>
      <c r="H156" s="9">
        <v>58</v>
      </c>
      <c r="I156" s="33" t="s">
        <v>37</v>
      </c>
      <c r="J156" s="33"/>
      <c r="K156" s="34"/>
    </row>
    <row r="157" spans="1:11" x14ac:dyDescent="0.3">
      <c r="A157" s="48" t="s">
        <v>173</v>
      </c>
      <c r="B157" s="33"/>
      <c r="C157" s="33"/>
      <c r="D157" s="33"/>
      <c r="E157" s="33"/>
      <c r="F157" s="33"/>
      <c r="G157" s="33"/>
      <c r="H157" s="11">
        <v>15</v>
      </c>
      <c r="I157" s="33" t="s">
        <v>37</v>
      </c>
      <c r="J157" s="33"/>
      <c r="K157" s="34"/>
    </row>
    <row r="158" spans="1:11" x14ac:dyDescent="0.3">
      <c r="A158" s="48" t="s">
        <v>174</v>
      </c>
      <c r="B158" s="33"/>
      <c r="C158" s="33"/>
      <c r="D158" s="33"/>
      <c r="E158" s="33"/>
      <c r="F158" s="33"/>
      <c r="G158" s="33"/>
      <c r="H158" s="9">
        <v>70</v>
      </c>
      <c r="I158" s="33" t="s">
        <v>45</v>
      </c>
      <c r="J158" s="33"/>
      <c r="K158" s="34"/>
    </row>
    <row r="159" spans="1:11" x14ac:dyDescent="0.3">
      <c r="A159" s="48" t="s">
        <v>175</v>
      </c>
      <c r="B159" s="33"/>
      <c r="C159" s="33"/>
      <c r="D159" s="33"/>
      <c r="E159" s="33"/>
      <c r="F159" s="33"/>
      <c r="G159" s="33"/>
      <c r="H159" s="9">
        <v>1.75</v>
      </c>
      <c r="I159" s="33" t="s">
        <v>45</v>
      </c>
      <c r="J159" s="33"/>
      <c r="K159" s="34"/>
    </row>
    <row r="160" spans="1:11" ht="15" thickBot="1" x14ac:dyDescent="0.35">
      <c r="A160" s="27" t="s">
        <v>176</v>
      </c>
      <c r="B160" s="28"/>
      <c r="C160" s="28"/>
      <c r="D160" s="28"/>
      <c r="E160" s="28"/>
      <c r="F160" s="28"/>
      <c r="G160" s="28"/>
      <c r="H160" s="10">
        <v>50</v>
      </c>
      <c r="I160" s="28" t="s">
        <v>45</v>
      </c>
      <c r="J160" s="28"/>
      <c r="K160" s="29"/>
    </row>
    <row r="161" spans="1:11" ht="15" thickBot="1" x14ac:dyDescent="0.35">
      <c r="A161" s="120" t="s">
        <v>177</v>
      </c>
      <c r="B161" s="86"/>
      <c r="C161" s="86"/>
      <c r="D161" s="86"/>
      <c r="E161" s="86"/>
      <c r="F161" s="86"/>
      <c r="G161" s="86"/>
      <c r="H161" s="86"/>
      <c r="I161" s="86"/>
      <c r="J161" s="86"/>
      <c r="K161" s="121"/>
    </row>
    <row r="162" spans="1:11" x14ac:dyDescent="0.3">
      <c r="A162" s="52" t="s">
        <v>178</v>
      </c>
      <c r="B162" s="53"/>
      <c r="C162" s="53"/>
      <c r="D162" s="53"/>
      <c r="E162" s="53"/>
      <c r="F162" s="53"/>
      <c r="G162" s="53"/>
      <c r="H162" s="8">
        <v>25</v>
      </c>
      <c r="I162" s="53" t="s">
        <v>45</v>
      </c>
      <c r="J162" s="53"/>
      <c r="K162" s="54"/>
    </row>
    <row r="163" spans="1:11" x14ac:dyDescent="0.3">
      <c r="A163" s="48" t="s">
        <v>179</v>
      </c>
      <c r="B163" s="33"/>
      <c r="C163" s="33"/>
      <c r="D163" s="33"/>
      <c r="E163" s="33"/>
      <c r="F163" s="33"/>
      <c r="G163" s="33"/>
      <c r="H163" s="9">
        <v>40</v>
      </c>
      <c r="I163" s="33" t="s">
        <v>45</v>
      </c>
      <c r="J163" s="33"/>
      <c r="K163" s="34"/>
    </row>
    <row r="164" spans="1:11" x14ac:dyDescent="0.3">
      <c r="A164" s="48" t="s">
        <v>180</v>
      </c>
      <c r="B164" s="33"/>
      <c r="C164" s="33"/>
      <c r="D164" s="33"/>
      <c r="E164" s="33"/>
      <c r="F164" s="33"/>
      <c r="G164" s="33"/>
      <c r="H164" s="9">
        <v>18.5</v>
      </c>
      <c r="I164" s="33" t="s">
        <v>45</v>
      </c>
      <c r="J164" s="33"/>
      <c r="K164" s="34"/>
    </row>
    <row r="165" spans="1:11" x14ac:dyDescent="0.3">
      <c r="A165" s="48" t="s">
        <v>181</v>
      </c>
      <c r="B165" s="33"/>
      <c r="C165" s="33"/>
      <c r="D165" s="33"/>
      <c r="E165" s="33"/>
      <c r="F165" s="33"/>
      <c r="G165" s="33"/>
      <c r="H165" s="9">
        <v>200</v>
      </c>
      <c r="I165" s="33" t="s">
        <v>45</v>
      </c>
      <c r="J165" s="33"/>
      <c r="K165" s="34"/>
    </row>
    <row r="166" spans="1:11" x14ac:dyDescent="0.3">
      <c r="A166" s="48" t="s">
        <v>182</v>
      </c>
      <c r="B166" s="33"/>
      <c r="C166" s="33"/>
      <c r="D166" s="33"/>
      <c r="E166" s="33"/>
      <c r="F166" s="33"/>
      <c r="G166" s="33"/>
      <c r="H166" s="9">
        <v>160</v>
      </c>
      <c r="I166" s="33" t="s">
        <v>37</v>
      </c>
      <c r="J166" s="33"/>
      <c r="K166" s="34"/>
    </row>
    <row r="167" spans="1:11" ht="15" thickBot="1" x14ac:dyDescent="0.35">
      <c r="A167" s="27" t="s">
        <v>183</v>
      </c>
      <c r="B167" s="28"/>
      <c r="C167" s="28"/>
      <c r="D167" s="28"/>
      <c r="E167" s="28"/>
      <c r="F167" s="28"/>
      <c r="G167" s="28"/>
      <c r="H167" s="10">
        <v>1.45</v>
      </c>
      <c r="I167" s="28" t="s">
        <v>184</v>
      </c>
      <c r="J167" s="28"/>
      <c r="K167" s="29"/>
    </row>
    <row r="168" spans="1:11" ht="15" thickBot="1" x14ac:dyDescent="0.35">
      <c r="A168" s="120" t="s">
        <v>185</v>
      </c>
      <c r="B168" s="86"/>
      <c r="C168" s="86"/>
      <c r="D168" s="86"/>
      <c r="E168" s="86"/>
      <c r="F168" s="86"/>
      <c r="G168" s="86"/>
      <c r="H168" s="86"/>
      <c r="I168" s="86"/>
      <c r="J168" s="86"/>
      <c r="K168" s="121"/>
    </row>
    <row r="169" spans="1:11" x14ac:dyDescent="0.3">
      <c r="A169" s="125" t="s">
        <v>186</v>
      </c>
      <c r="B169" s="126"/>
      <c r="C169" s="126"/>
      <c r="D169" s="126"/>
      <c r="E169" s="126"/>
      <c r="F169" s="126"/>
      <c r="G169" s="126"/>
      <c r="H169" s="126"/>
      <c r="I169" s="126"/>
      <c r="J169" s="126"/>
      <c r="K169" s="127"/>
    </row>
    <row r="170" spans="1:11" x14ac:dyDescent="0.3">
      <c r="A170" s="48" t="s">
        <v>187</v>
      </c>
      <c r="B170" s="33"/>
      <c r="C170" s="33"/>
      <c r="D170" s="33"/>
      <c r="E170" s="33"/>
      <c r="F170" s="33"/>
      <c r="G170" s="33"/>
      <c r="H170" s="9">
        <v>41.5</v>
      </c>
      <c r="I170" s="33" t="s">
        <v>31</v>
      </c>
      <c r="J170" s="33"/>
      <c r="K170" s="34"/>
    </row>
    <row r="171" spans="1:11" x14ac:dyDescent="0.3">
      <c r="A171" s="48" t="s">
        <v>188</v>
      </c>
      <c r="B171" s="33"/>
      <c r="C171" s="33"/>
      <c r="D171" s="33"/>
      <c r="E171" s="33"/>
      <c r="F171" s="33"/>
      <c r="G171" s="33"/>
      <c r="H171" s="9">
        <v>82.5</v>
      </c>
      <c r="I171" s="33" t="s">
        <v>31</v>
      </c>
      <c r="J171" s="33"/>
      <c r="K171" s="34"/>
    </row>
    <row r="172" spans="1:11" x14ac:dyDescent="0.3">
      <c r="A172" s="48" t="s">
        <v>189</v>
      </c>
      <c r="B172" s="33"/>
      <c r="C172" s="33"/>
      <c r="D172" s="33"/>
      <c r="E172" s="33"/>
      <c r="F172" s="33"/>
      <c r="G172" s="33"/>
      <c r="H172" s="9">
        <v>36</v>
      </c>
      <c r="I172" s="33" t="s">
        <v>190</v>
      </c>
      <c r="J172" s="33"/>
      <c r="K172" s="34"/>
    </row>
    <row r="173" spans="1:11" x14ac:dyDescent="0.3">
      <c r="A173" s="48" t="s">
        <v>191</v>
      </c>
      <c r="B173" s="33"/>
      <c r="C173" s="33"/>
      <c r="D173" s="33"/>
      <c r="E173" s="33"/>
      <c r="F173" s="33"/>
      <c r="G173" s="33"/>
      <c r="H173" s="9">
        <v>95.5</v>
      </c>
      <c r="I173" s="33" t="s">
        <v>190</v>
      </c>
      <c r="J173" s="33"/>
      <c r="K173" s="34"/>
    </row>
    <row r="174" spans="1:11" x14ac:dyDescent="0.3">
      <c r="A174" s="48" t="s">
        <v>192</v>
      </c>
      <c r="B174" s="33"/>
      <c r="C174" s="33"/>
      <c r="D174" s="33"/>
      <c r="E174" s="33"/>
      <c r="F174" s="33"/>
      <c r="G174" s="33"/>
      <c r="H174" s="9">
        <v>120</v>
      </c>
      <c r="I174" s="33" t="s">
        <v>190</v>
      </c>
      <c r="J174" s="33"/>
      <c r="K174" s="34"/>
    </row>
    <row r="175" spans="1:11" x14ac:dyDescent="0.3">
      <c r="A175" s="48" t="s">
        <v>193</v>
      </c>
      <c r="B175" s="33"/>
      <c r="C175" s="33"/>
      <c r="D175" s="33"/>
      <c r="E175" s="33"/>
      <c r="F175" s="33"/>
      <c r="G175" s="33"/>
      <c r="H175" s="9">
        <v>142</v>
      </c>
      <c r="I175" s="33" t="s">
        <v>190</v>
      </c>
      <c r="J175" s="33"/>
      <c r="K175" s="34"/>
    </row>
    <row r="176" spans="1:11" x14ac:dyDescent="0.3">
      <c r="A176" s="48" t="s">
        <v>194</v>
      </c>
      <c r="B176" s="33"/>
      <c r="C176" s="33"/>
      <c r="D176" s="33"/>
      <c r="E176" s="33"/>
      <c r="F176" s="33"/>
      <c r="G176" s="33"/>
      <c r="H176" s="9">
        <v>3100</v>
      </c>
      <c r="I176" s="33" t="s">
        <v>190</v>
      </c>
      <c r="J176" s="33"/>
      <c r="K176" s="34"/>
    </row>
    <row r="177" spans="1:11" x14ac:dyDescent="0.3">
      <c r="A177" s="48" t="s">
        <v>195</v>
      </c>
      <c r="B177" s="33"/>
      <c r="C177" s="33"/>
      <c r="D177" s="33"/>
      <c r="E177" s="33"/>
      <c r="F177" s="33"/>
      <c r="G177" s="33"/>
      <c r="H177" s="9">
        <v>80</v>
      </c>
      <c r="I177" s="33" t="s">
        <v>190</v>
      </c>
      <c r="J177" s="33"/>
      <c r="K177" s="34"/>
    </row>
    <row r="178" spans="1:11" x14ac:dyDescent="0.3">
      <c r="A178" s="48" t="s">
        <v>196</v>
      </c>
      <c r="B178" s="33"/>
      <c r="C178" s="33"/>
      <c r="D178" s="33"/>
      <c r="E178" s="33"/>
      <c r="F178" s="33"/>
      <c r="G178" s="33"/>
      <c r="H178" s="9">
        <v>32</v>
      </c>
      <c r="I178" s="33" t="s">
        <v>190</v>
      </c>
      <c r="J178" s="33"/>
      <c r="K178" s="34"/>
    </row>
    <row r="179" spans="1:11" x14ac:dyDescent="0.3">
      <c r="A179" s="48" t="s">
        <v>197</v>
      </c>
      <c r="B179" s="33"/>
      <c r="C179" s="33"/>
      <c r="D179" s="33"/>
      <c r="E179" s="33"/>
      <c r="F179" s="33"/>
      <c r="G179" s="33"/>
      <c r="H179" s="9">
        <v>90</v>
      </c>
      <c r="I179" s="33" t="s">
        <v>37</v>
      </c>
      <c r="J179" s="33"/>
      <c r="K179" s="34"/>
    </row>
    <row r="180" spans="1:11" x14ac:dyDescent="0.3">
      <c r="A180" s="48" t="s">
        <v>198</v>
      </c>
      <c r="B180" s="33"/>
      <c r="C180" s="33"/>
      <c r="D180" s="33"/>
      <c r="E180" s="33"/>
      <c r="F180" s="33"/>
      <c r="G180" s="33"/>
      <c r="H180" s="9">
        <v>375</v>
      </c>
      <c r="I180" s="33" t="s">
        <v>37</v>
      </c>
      <c r="J180" s="33"/>
      <c r="K180" s="34"/>
    </row>
    <row r="181" spans="1:11" x14ac:dyDescent="0.3">
      <c r="A181" s="48" t="s">
        <v>199</v>
      </c>
      <c r="B181" s="33"/>
      <c r="C181" s="33"/>
      <c r="D181" s="33"/>
      <c r="E181" s="33"/>
      <c r="F181" s="33"/>
      <c r="G181" s="33"/>
      <c r="H181" s="9">
        <v>450</v>
      </c>
      <c r="I181" s="33" t="s">
        <v>45</v>
      </c>
      <c r="J181" s="33"/>
      <c r="K181" s="34"/>
    </row>
    <row r="182" spans="1:11" x14ac:dyDescent="0.3">
      <c r="A182" s="48" t="s">
        <v>200</v>
      </c>
      <c r="B182" s="33"/>
      <c r="C182" s="33"/>
      <c r="D182" s="33"/>
      <c r="E182" s="33"/>
      <c r="F182" s="33"/>
      <c r="G182" s="33"/>
      <c r="H182" s="9">
        <v>45</v>
      </c>
      <c r="I182" s="33" t="s">
        <v>45</v>
      </c>
      <c r="J182" s="33"/>
      <c r="K182" s="34"/>
    </row>
    <row r="183" spans="1:11" x14ac:dyDescent="0.3">
      <c r="A183" s="122" t="s">
        <v>201</v>
      </c>
      <c r="B183" s="123"/>
      <c r="C183" s="123"/>
      <c r="D183" s="123"/>
      <c r="E183" s="123"/>
      <c r="F183" s="123"/>
      <c r="G183" s="123"/>
      <c r="H183" s="123"/>
      <c r="I183" s="123"/>
      <c r="J183" s="123"/>
      <c r="K183" s="124"/>
    </row>
    <row r="184" spans="1:11" x14ac:dyDescent="0.3">
      <c r="A184" s="48" t="s">
        <v>202</v>
      </c>
      <c r="B184" s="33"/>
      <c r="C184" s="33"/>
      <c r="D184" s="33"/>
      <c r="E184" s="33"/>
      <c r="F184" s="33"/>
      <c r="G184" s="33"/>
      <c r="H184" s="9">
        <v>58</v>
      </c>
      <c r="I184" s="33" t="s">
        <v>203</v>
      </c>
      <c r="J184" s="33"/>
      <c r="K184" s="34"/>
    </row>
    <row r="185" spans="1:11" x14ac:dyDescent="0.3">
      <c r="A185" s="48" t="s">
        <v>204</v>
      </c>
      <c r="B185" s="33"/>
      <c r="C185" s="33"/>
      <c r="D185" s="33"/>
      <c r="E185" s="33"/>
      <c r="F185" s="33"/>
      <c r="G185" s="33"/>
      <c r="H185" s="9">
        <v>275</v>
      </c>
      <c r="I185" s="33" t="s">
        <v>203</v>
      </c>
      <c r="J185" s="33"/>
      <c r="K185" s="34"/>
    </row>
    <row r="186" spans="1:11" x14ac:dyDescent="0.3">
      <c r="A186" s="48" t="s">
        <v>205</v>
      </c>
      <c r="B186" s="33"/>
      <c r="C186" s="33"/>
      <c r="D186" s="33"/>
      <c r="E186" s="33"/>
      <c r="F186" s="33"/>
      <c r="G186" s="33"/>
      <c r="H186" s="9">
        <v>18</v>
      </c>
      <c r="I186" s="33" t="s">
        <v>203</v>
      </c>
      <c r="J186" s="33"/>
      <c r="K186" s="34"/>
    </row>
    <row r="187" spans="1:11" x14ac:dyDescent="0.3">
      <c r="A187" s="48" t="s">
        <v>206</v>
      </c>
      <c r="B187" s="33"/>
      <c r="C187" s="33"/>
      <c r="D187" s="33"/>
      <c r="E187" s="33"/>
      <c r="F187" s="33"/>
      <c r="G187" s="33"/>
      <c r="H187" s="9">
        <v>28</v>
      </c>
      <c r="I187" s="33" t="s">
        <v>203</v>
      </c>
      <c r="J187" s="33"/>
      <c r="K187" s="34"/>
    </row>
    <row r="188" spans="1:11" x14ac:dyDescent="0.3">
      <c r="A188" s="48" t="s">
        <v>207</v>
      </c>
      <c r="B188" s="33"/>
      <c r="C188" s="33"/>
      <c r="D188" s="33"/>
      <c r="E188" s="33"/>
      <c r="F188" s="33"/>
      <c r="G188" s="33"/>
      <c r="H188" s="9">
        <v>75</v>
      </c>
      <c r="I188" s="33" t="s">
        <v>203</v>
      </c>
      <c r="J188" s="33"/>
      <c r="K188" s="34"/>
    </row>
    <row r="189" spans="1:11" x14ac:dyDescent="0.3">
      <c r="A189" s="48" t="s">
        <v>208</v>
      </c>
      <c r="B189" s="33"/>
      <c r="C189" s="33"/>
      <c r="D189" s="33"/>
      <c r="E189" s="33"/>
      <c r="F189" s="33"/>
      <c r="G189" s="33"/>
      <c r="H189" s="9">
        <v>50</v>
      </c>
      <c r="I189" s="33" t="s">
        <v>203</v>
      </c>
      <c r="J189" s="33"/>
      <c r="K189" s="34"/>
    </row>
    <row r="190" spans="1:11" x14ac:dyDescent="0.3">
      <c r="A190" s="48" t="s">
        <v>209</v>
      </c>
      <c r="B190" s="33"/>
      <c r="C190" s="33"/>
      <c r="D190" s="33"/>
      <c r="E190" s="33"/>
      <c r="F190" s="33"/>
      <c r="G190" s="33"/>
      <c r="H190" s="9">
        <v>75</v>
      </c>
      <c r="I190" s="33" t="s">
        <v>203</v>
      </c>
      <c r="J190" s="33"/>
      <c r="K190" s="34"/>
    </row>
    <row r="191" spans="1:11" x14ac:dyDescent="0.3">
      <c r="A191" s="48" t="s">
        <v>210</v>
      </c>
      <c r="B191" s="33"/>
      <c r="C191" s="33"/>
      <c r="D191" s="33"/>
      <c r="E191" s="33"/>
      <c r="F191" s="33"/>
      <c r="G191" s="33"/>
      <c r="H191" s="9">
        <v>20</v>
      </c>
      <c r="I191" s="33" t="s">
        <v>203</v>
      </c>
      <c r="J191" s="33"/>
      <c r="K191" s="34"/>
    </row>
    <row r="192" spans="1:11" x14ac:dyDescent="0.3">
      <c r="A192" s="48" t="s">
        <v>211</v>
      </c>
      <c r="B192" s="33"/>
      <c r="C192" s="33"/>
      <c r="D192" s="33"/>
      <c r="E192" s="33"/>
      <c r="F192" s="33"/>
      <c r="G192" s="33"/>
      <c r="H192" s="9">
        <v>20</v>
      </c>
      <c r="I192" s="33" t="s">
        <v>203</v>
      </c>
      <c r="J192" s="33"/>
      <c r="K192" s="34"/>
    </row>
    <row r="193" spans="1:11" x14ac:dyDescent="0.3">
      <c r="A193" s="122" t="s">
        <v>212</v>
      </c>
      <c r="B193" s="123"/>
      <c r="C193" s="123"/>
      <c r="D193" s="123"/>
      <c r="E193" s="123"/>
      <c r="F193" s="123"/>
      <c r="G193" s="123"/>
      <c r="H193" s="123"/>
      <c r="I193" s="123"/>
      <c r="J193" s="123"/>
      <c r="K193" s="124"/>
    </row>
    <row r="194" spans="1:11" x14ac:dyDescent="0.3">
      <c r="A194" s="48" t="s">
        <v>213</v>
      </c>
      <c r="B194" s="33"/>
      <c r="C194" s="33"/>
      <c r="D194" s="33"/>
      <c r="E194" s="33"/>
      <c r="F194" s="33"/>
      <c r="G194" s="33"/>
      <c r="H194" s="9">
        <v>10</v>
      </c>
      <c r="I194" s="33" t="s">
        <v>203</v>
      </c>
      <c r="J194" s="33"/>
      <c r="K194" s="34"/>
    </row>
    <row r="195" spans="1:11" x14ac:dyDescent="0.3">
      <c r="A195" s="48" t="s">
        <v>214</v>
      </c>
      <c r="B195" s="33"/>
      <c r="C195" s="33"/>
      <c r="D195" s="33"/>
      <c r="E195" s="33"/>
      <c r="F195" s="33"/>
      <c r="G195" s="33"/>
      <c r="H195" s="9">
        <v>55</v>
      </c>
      <c r="I195" s="33" t="s">
        <v>203</v>
      </c>
      <c r="J195" s="33"/>
      <c r="K195" s="34"/>
    </row>
    <row r="196" spans="1:11" x14ac:dyDescent="0.3">
      <c r="A196" s="48" t="s">
        <v>215</v>
      </c>
      <c r="B196" s="33"/>
      <c r="C196" s="33"/>
      <c r="D196" s="33"/>
      <c r="E196" s="33"/>
      <c r="F196" s="33"/>
      <c r="G196" s="33"/>
      <c r="H196" s="9">
        <v>3</v>
      </c>
      <c r="I196" s="33" t="s">
        <v>203</v>
      </c>
      <c r="J196" s="33"/>
      <c r="K196" s="34"/>
    </row>
    <row r="197" spans="1:11" x14ac:dyDescent="0.3">
      <c r="A197" s="48" t="s">
        <v>216</v>
      </c>
      <c r="B197" s="33"/>
      <c r="C197" s="33"/>
      <c r="D197" s="33"/>
      <c r="E197" s="33"/>
      <c r="F197" s="33"/>
      <c r="G197" s="33"/>
      <c r="H197" s="9">
        <v>8</v>
      </c>
      <c r="I197" s="33" t="s">
        <v>203</v>
      </c>
      <c r="J197" s="33"/>
      <c r="K197" s="34"/>
    </row>
    <row r="198" spans="1:11" x14ac:dyDescent="0.3">
      <c r="A198" s="48" t="s">
        <v>217</v>
      </c>
      <c r="B198" s="33"/>
      <c r="C198" s="33"/>
      <c r="D198" s="33"/>
      <c r="E198" s="33"/>
      <c r="F198" s="33"/>
      <c r="G198" s="33"/>
      <c r="H198" s="9">
        <v>25</v>
      </c>
      <c r="I198" s="33" t="s">
        <v>203</v>
      </c>
      <c r="J198" s="33"/>
      <c r="K198" s="34"/>
    </row>
    <row r="199" spans="1:11" x14ac:dyDescent="0.3">
      <c r="A199" s="48" t="s">
        <v>218</v>
      </c>
      <c r="B199" s="33"/>
      <c r="C199" s="33"/>
      <c r="D199" s="33"/>
      <c r="E199" s="33"/>
      <c r="F199" s="33"/>
      <c r="G199" s="33"/>
      <c r="H199" s="9">
        <v>65</v>
      </c>
      <c r="I199" s="33" t="s">
        <v>203</v>
      </c>
      <c r="J199" s="33"/>
      <c r="K199" s="34"/>
    </row>
    <row r="200" spans="1:11" x14ac:dyDescent="0.3">
      <c r="A200" s="122" t="s">
        <v>219</v>
      </c>
      <c r="B200" s="123"/>
      <c r="C200" s="123"/>
      <c r="D200" s="123"/>
      <c r="E200" s="123"/>
      <c r="F200" s="123"/>
      <c r="G200" s="123"/>
      <c r="H200" s="123"/>
      <c r="I200" s="123"/>
      <c r="J200" s="123"/>
      <c r="K200" s="124"/>
    </row>
    <row r="201" spans="1:11" x14ac:dyDescent="0.3">
      <c r="A201" s="48" t="s">
        <v>220</v>
      </c>
      <c r="B201" s="33"/>
      <c r="C201" s="33"/>
      <c r="D201" s="33"/>
      <c r="E201" s="33"/>
      <c r="F201" s="33"/>
      <c r="G201" s="33"/>
      <c r="H201" s="9">
        <v>5</v>
      </c>
      <c r="I201" s="33" t="s">
        <v>45</v>
      </c>
      <c r="J201" s="33"/>
      <c r="K201" s="34"/>
    </row>
    <row r="202" spans="1:11" x14ac:dyDescent="0.3">
      <c r="A202" s="48" t="s">
        <v>221</v>
      </c>
      <c r="B202" s="33"/>
      <c r="C202" s="33"/>
      <c r="D202" s="33"/>
      <c r="E202" s="33"/>
      <c r="F202" s="33"/>
      <c r="G202" s="33"/>
      <c r="H202" s="9">
        <v>15</v>
      </c>
      <c r="I202" s="33" t="s">
        <v>45</v>
      </c>
      <c r="J202" s="33"/>
      <c r="K202" s="34"/>
    </row>
    <row r="203" spans="1:11" x14ac:dyDescent="0.3">
      <c r="A203" s="48" t="s">
        <v>222</v>
      </c>
      <c r="B203" s="33"/>
      <c r="C203" s="33"/>
      <c r="D203" s="33"/>
      <c r="E203" s="33"/>
      <c r="F203" s="33"/>
      <c r="G203" s="33"/>
      <c r="H203" s="9">
        <v>8</v>
      </c>
      <c r="I203" s="33" t="s">
        <v>45</v>
      </c>
      <c r="J203" s="33"/>
      <c r="K203" s="34"/>
    </row>
    <row r="204" spans="1:11" x14ac:dyDescent="0.3">
      <c r="A204" s="48" t="s">
        <v>223</v>
      </c>
      <c r="B204" s="33"/>
      <c r="C204" s="33"/>
      <c r="D204" s="33"/>
      <c r="E204" s="33"/>
      <c r="F204" s="33"/>
      <c r="G204" s="33"/>
      <c r="H204" s="9">
        <v>6.5</v>
      </c>
      <c r="I204" s="33" t="s">
        <v>45</v>
      </c>
      <c r="J204" s="33"/>
      <c r="K204" s="34"/>
    </row>
    <row r="205" spans="1:11" x14ac:dyDescent="0.3">
      <c r="A205" s="48" t="s">
        <v>224</v>
      </c>
      <c r="B205" s="33"/>
      <c r="C205" s="33"/>
      <c r="D205" s="33"/>
      <c r="E205" s="33"/>
      <c r="F205" s="33"/>
      <c r="G205" s="33"/>
      <c r="H205" s="9">
        <v>30</v>
      </c>
      <c r="I205" s="33" t="s">
        <v>37</v>
      </c>
      <c r="J205" s="33"/>
      <c r="K205" s="34"/>
    </row>
    <row r="206" spans="1:11" x14ac:dyDescent="0.3">
      <c r="A206" s="48" t="s">
        <v>225</v>
      </c>
      <c r="B206" s="33"/>
      <c r="C206" s="33"/>
      <c r="D206" s="33"/>
      <c r="E206" s="33"/>
      <c r="F206" s="33"/>
      <c r="G206" s="33"/>
      <c r="H206" s="9">
        <v>65</v>
      </c>
      <c r="I206" s="33" t="s">
        <v>37</v>
      </c>
      <c r="J206" s="33"/>
      <c r="K206" s="34"/>
    </row>
    <row r="207" spans="1:11" x14ac:dyDescent="0.3">
      <c r="A207" s="48" t="s">
        <v>226</v>
      </c>
      <c r="B207" s="33"/>
      <c r="C207" s="33"/>
      <c r="D207" s="33"/>
      <c r="E207" s="33"/>
      <c r="F207" s="33"/>
      <c r="G207" s="33"/>
      <c r="H207" s="9">
        <v>32</v>
      </c>
      <c r="I207" s="33" t="s">
        <v>203</v>
      </c>
      <c r="J207" s="33"/>
      <c r="K207" s="34"/>
    </row>
    <row r="208" spans="1:11" x14ac:dyDescent="0.3">
      <c r="A208" s="48" t="s">
        <v>227</v>
      </c>
      <c r="B208" s="33"/>
      <c r="C208" s="33"/>
      <c r="D208" s="33"/>
      <c r="E208" s="33"/>
      <c r="F208" s="33"/>
      <c r="G208" s="33"/>
      <c r="H208" s="9">
        <v>50</v>
      </c>
      <c r="I208" s="33" t="s">
        <v>203</v>
      </c>
      <c r="J208" s="33"/>
      <c r="K208" s="34"/>
    </row>
    <row r="209" spans="1:11" x14ac:dyDescent="0.3">
      <c r="A209" s="48" t="s">
        <v>228</v>
      </c>
      <c r="B209" s="33"/>
      <c r="C209" s="33"/>
      <c r="D209" s="33"/>
      <c r="E209" s="33"/>
      <c r="F209" s="33"/>
      <c r="G209" s="33"/>
      <c r="H209" s="9">
        <v>68</v>
      </c>
      <c r="I209" s="33" t="s">
        <v>203</v>
      </c>
      <c r="J209" s="33"/>
      <c r="K209" s="34"/>
    </row>
    <row r="210" spans="1:11" x14ac:dyDescent="0.3">
      <c r="A210" s="48" t="s">
        <v>229</v>
      </c>
      <c r="B210" s="33"/>
      <c r="C210" s="33"/>
      <c r="D210" s="33"/>
      <c r="E210" s="33"/>
      <c r="F210" s="33"/>
      <c r="G210" s="33"/>
      <c r="H210" s="9">
        <v>2</v>
      </c>
      <c r="I210" s="33" t="s">
        <v>203</v>
      </c>
      <c r="J210" s="33"/>
      <c r="K210" s="34"/>
    </row>
    <row r="211" spans="1:11" x14ac:dyDescent="0.3">
      <c r="A211" s="122" t="s">
        <v>230</v>
      </c>
      <c r="B211" s="123"/>
      <c r="C211" s="123"/>
      <c r="D211" s="123"/>
      <c r="E211" s="123"/>
      <c r="F211" s="123"/>
      <c r="G211" s="123"/>
      <c r="H211" s="123"/>
      <c r="I211" s="123"/>
      <c r="J211" s="123"/>
      <c r="K211" s="124"/>
    </row>
    <row r="212" spans="1:11" x14ac:dyDescent="0.3">
      <c r="A212" s="48" t="s">
        <v>231</v>
      </c>
      <c r="B212" s="33"/>
      <c r="C212" s="33"/>
      <c r="D212" s="33"/>
      <c r="E212" s="33"/>
      <c r="F212" s="33"/>
      <c r="G212" s="33"/>
      <c r="H212" s="9">
        <v>25</v>
      </c>
      <c r="I212" s="33" t="s">
        <v>37</v>
      </c>
      <c r="J212" s="33"/>
      <c r="K212" s="34"/>
    </row>
    <row r="213" spans="1:11" x14ac:dyDescent="0.3">
      <c r="A213" s="74" t="s">
        <v>232</v>
      </c>
      <c r="B213" s="58"/>
      <c r="C213" s="58"/>
      <c r="D213" s="58"/>
      <c r="E213" s="58"/>
      <c r="F213" s="58"/>
      <c r="G213" s="58"/>
      <c r="H213" s="14">
        <v>45</v>
      </c>
      <c r="I213" s="58" t="s">
        <v>37</v>
      </c>
      <c r="J213" s="58"/>
      <c r="K213" s="59"/>
    </row>
    <row r="214" spans="1:11" x14ac:dyDescent="0.3">
      <c r="A214" s="48" t="s">
        <v>233</v>
      </c>
      <c r="B214" s="33"/>
      <c r="C214" s="33"/>
      <c r="D214" s="33"/>
      <c r="E214" s="33"/>
      <c r="F214" s="33"/>
      <c r="G214" s="33"/>
      <c r="H214" s="9">
        <v>185</v>
      </c>
      <c r="I214" s="33" t="s">
        <v>37</v>
      </c>
      <c r="J214" s="33"/>
      <c r="K214" s="34"/>
    </row>
    <row r="215" spans="1:11" x14ac:dyDescent="0.3">
      <c r="A215" s="74" t="s">
        <v>234</v>
      </c>
      <c r="B215" s="58"/>
      <c r="C215" s="58"/>
      <c r="D215" s="58"/>
      <c r="E215" s="58"/>
      <c r="F215" s="58"/>
      <c r="G215" s="58"/>
      <c r="H215" s="14">
        <v>55</v>
      </c>
      <c r="I215" s="58" t="s">
        <v>37</v>
      </c>
      <c r="J215" s="58"/>
      <c r="K215" s="59"/>
    </row>
    <row r="216" spans="1:11" x14ac:dyDescent="0.3">
      <c r="A216" s="48" t="s">
        <v>235</v>
      </c>
      <c r="B216" s="33"/>
      <c r="C216" s="33"/>
      <c r="D216" s="33"/>
      <c r="E216" s="33"/>
      <c r="F216" s="33"/>
      <c r="G216" s="33"/>
      <c r="H216" s="11" t="s">
        <v>353</v>
      </c>
      <c r="I216" s="33" t="s">
        <v>107</v>
      </c>
      <c r="J216" s="33"/>
      <c r="K216" s="34"/>
    </row>
    <row r="217" spans="1:11" x14ac:dyDescent="0.3">
      <c r="A217" s="74" t="s">
        <v>236</v>
      </c>
      <c r="B217" s="58"/>
      <c r="C217" s="58"/>
      <c r="D217" s="58"/>
      <c r="E217" s="58"/>
      <c r="F217" s="58"/>
      <c r="G217" s="58"/>
      <c r="H217" s="14">
        <v>75</v>
      </c>
      <c r="I217" s="58" t="s">
        <v>37</v>
      </c>
      <c r="J217" s="58"/>
      <c r="K217" s="59"/>
    </row>
    <row r="218" spans="1:11" x14ac:dyDescent="0.3">
      <c r="A218" s="74" t="s">
        <v>237</v>
      </c>
      <c r="B218" s="58"/>
      <c r="C218" s="58"/>
      <c r="D218" s="58"/>
      <c r="E218" s="58"/>
      <c r="F218" s="58"/>
      <c r="G218" s="58"/>
      <c r="H218" s="14">
        <v>160</v>
      </c>
      <c r="I218" s="58" t="s">
        <v>37</v>
      </c>
      <c r="J218" s="58"/>
      <c r="K218" s="59"/>
    </row>
    <row r="219" spans="1:11" x14ac:dyDescent="0.3">
      <c r="A219" s="74" t="s">
        <v>238</v>
      </c>
      <c r="B219" s="58"/>
      <c r="C219" s="58"/>
      <c r="D219" s="58"/>
      <c r="E219" s="58"/>
      <c r="F219" s="58"/>
      <c r="G219" s="58"/>
      <c r="H219" s="14">
        <v>90</v>
      </c>
      <c r="I219" s="58" t="s">
        <v>45</v>
      </c>
      <c r="J219" s="58"/>
      <c r="K219" s="59"/>
    </row>
    <row r="220" spans="1:11" x14ac:dyDescent="0.3">
      <c r="A220" s="74" t="s">
        <v>239</v>
      </c>
      <c r="B220" s="58"/>
      <c r="C220" s="58"/>
      <c r="D220" s="58"/>
      <c r="E220" s="58"/>
      <c r="F220" s="58"/>
      <c r="G220" s="58"/>
      <c r="H220" s="14">
        <v>15</v>
      </c>
      <c r="I220" s="58" t="s">
        <v>37</v>
      </c>
      <c r="J220" s="58"/>
      <c r="K220" s="59"/>
    </row>
    <row r="221" spans="1:11" x14ac:dyDescent="0.3">
      <c r="A221" s="74" t="s">
        <v>240</v>
      </c>
      <c r="B221" s="58"/>
      <c r="C221" s="58"/>
      <c r="D221" s="58"/>
      <c r="E221" s="58"/>
      <c r="F221" s="58"/>
      <c r="G221" s="58"/>
      <c r="H221" s="14">
        <v>200</v>
      </c>
      <c r="I221" s="58" t="s">
        <v>37</v>
      </c>
      <c r="J221" s="58"/>
      <c r="K221" s="59"/>
    </row>
    <row r="222" spans="1:11" x14ac:dyDescent="0.3">
      <c r="A222" s="74" t="s">
        <v>241</v>
      </c>
      <c r="B222" s="58"/>
      <c r="C222" s="58"/>
      <c r="D222" s="58"/>
      <c r="E222" s="58"/>
      <c r="F222" s="58"/>
      <c r="G222" s="58"/>
      <c r="H222" s="14">
        <v>50</v>
      </c>
      <c r="I222" s="58" t="s">
        <v>37</v>
      </c>
      <c r="J222" s="58"/>
      <c r="K222" s="59"/>
    </row>
    <row r="223" spans="1:11" x14ac:dyDescent="0.3">
      <c r="A223" s="74" t="s">
        <v>242</v>
      </c>
      <c r="B223" s="58"/>
      <c r="C223" s="58"/>
      <c r="D223" s="58"/>
      <c r="E223" s="58"/>
      <c r="F223" s="58"/>
      <c r="G223" s="58"/>
      <c r="H223" s="14">
        <v>200</v>
      </c>
      <c r="I223" s="58" t="s">
        <v>37</v>
      </c>
      <c r="J223" s="58"/>
      <c r="K223" s="59"/>
    </row>
    <row r="224" spans="1:11" x14ac:dyDescent="0.3">
      <c r="A224" s="74" t="s">
        <v>243</v>
      </c>
      <c r="B224" s="58"/>
      <c r="C224" s="58"/>
      <c r="D224" s="58"/>
      <c r="E224" s="58"/>
      <c r="F224" s="58"/>
      <c r="G224" s="58"/>
      <c r="H224" s="14">
        <v>15</v>
      </c>
      <c r="I224" s="58" t="s">
        <v>37</v>
      </c>
      <c r="J224" s="58"/>
      <c r="K224" s="59"/>
    </row>
    <row r="225" spans="1:11" x14ac:dyDescent="0.3">
      <c r="A225" s="74" t="s">
        <v>244</v>
      </c>
      <c r="B225" s="58"/>
      <c r="C225" s="58"/>
      <c r="D225" s="58"/>
      <c r="E225" s="58"/>
      <c r="F225" s="58"/>
      <c r="G225" s="58"/>
      <c r="H225" s="14">
        <v>20</v>
      </c>
      <c r="I225" s="58" t="s">
        <v>37</v>
      </c>
      <c r="J225" s="58"/>
      <c r="K225" s="59"/>
    </row>
    <row r="226" spans="1:11" x14ac:dyDescent="0.3">
      <c r="A226" s="74" t="s">
        <v>245</v>
      </c>
      <c r="B226" s="58"/>
      <c r="C226" s="58"/>
      <c r="D226" s="58"/>
      <c r="E226" s="58"/>
      <c r="F226" s="58"/>
      <c r="G226" s="58"/>
      <c r="H226" s="14">
        <v>50</v>
      </c>
      <c r="I226" s="58" t="s">
        <v>37</v>
      </c>
      <c r="J226" s="58"/>
      <c r="K226" s="59"/>
    </row>
    <row r="227" spans="1:11" x14ac:dyDescent="0.3">
      <c r="A227" s="74" t="s">
        <v>246</v>
      </c>
      <c r="B227" s="58"/>
      <c r="C227" s="58"/>
      <c r="D227" s="58"/>
      <c r="E227" s="58"/>
      <c r="F227" s="58"/>
      <c r="G227" s="58"/>
      <c r="H227" s="14">
        <v>500</v>
      </c>
      <c r="I227" s="58" t="s">
        <v>45</v>
      </c>
      <c r="J227" s="58"/>
      <c r="K227" s="59"/>
    </row>
    <row r="228" spans="1:11" x14ac:dyDescent="0.3">
      <c r="A228" s="74" t="s">
        <v>247</v>
      </c>
      <c r="B228" s="58"/>
      <c r="C228" s="58"/>
      <c r="D228" s="58"/>
      <c r="E228" s="58"/>
      <c r="F228" s="58"/>
      <c r="G228" s="58"/>
      <c r="H228" s="14">
        <v>200</v>
      </c>
      <c r="I228" s="58" t="s">
        <v>37</v>
      </c>
      <c r="J228" s="58"/>
      <c r="K228" s="59"/>
    </row>
    <row r="229" spans="1:11" x14ac:dyDescent="0.3">
      <c r="A229" s="74" t="s">
        <v>248</v>
      </c>
      <c r="B229" s="58"/>
      <c r="C229" s="58"/>
      <c r="D229" s="58"/>
      <c r="E229" s="58"/>
      <c r="F229" s="58"/>
      <c r="G229" s="58"/>
      <c r="H229" s="14">
        <v>100</v>
      </c>
      <c r="I229" s="58" t="s">
        <v>37</v>
      </c>
      <c r="J229" s="58"/>
      <c r="K229" s="59"/>
    </row>
    <row r="230" spans="1:11" x14ac:dyDescent="0.3">
      <c r="A230" s="122" t="s">
        <v>249</v>
      </c>
      <c r="B230" s="123"/>
      <c r="C230" s="123"/>
      <c r="D230" s="123"/>
      <c r="E230" s="123"/>
      <c r="F230" s="123"/>
      <c r="G230" s="123"/>
      <c r="H230" s="123"/>
      <c r="I230" s="123"/>
      <c r="J230" s="123"/>
      <c r="K230" s="124"/>
    </row>
    <row r="231" spans="1:11" x14ac:dyDescent="0.3">
      <c r="A231" s="48" t="s">
        <v>250</v>
      </c>
      <c r="B231" s="33"/>
      <c r="C231" s="33"/>
      <c r="D231" s="33"/>
      <c r="E231" s="33"/>
      <c r="F231" s="33"/>
      <c r="G231" s="33"/>
      <c r="H231" s="9">
        <v>150</v>
      </c>
      <c r="I231" s="33" t="s">
        <v>37</v>
      </c>
      <c r="J231" s="33"/>
      <c r="K231" s="34"/>
    </row>
    <row r="232" spans="1:11" x14ac:dyDescent="0.3">
      <c r="A232" s="48" t="s">
        <v>251</v>
      </c>
      <c r="B232" s="33"/>
      <c r="C232" s="33"/>
      <c r="D232" s="33"/>
      <c r="E232" s="33"/>
      <c r="F232" s="33"/>
      <c r="G232" s="33"/>
      <c r="H232" s="9">
        <v>175</v>
      </c>
      <c r="I232" s="33" t="s">
        <v>37</v>
      </c>
      <c r="J232" s="33"/>
      <c r="K232" s="34"/>
    </row>
    <row r="233" spans="1:11" x14ac:dyDescent="0.3">
      <c r="A233" s="48" t="s">
        <v>252</v>
      </c>
      <c r="B233" s="33"/>
      <c r="C233" s="33"/>
      <c r="D233" s="33"/>
      <c r="E233" s="33"/>
      <c r="F233" s="33"/>
      <c r="G233" s="33"/>
      <c r="H233" s="9">
        <v>20</v>
      </c>
      <c r="I233" s="33" t="s">
        <v>37</v>
      </c>
      <c r="J233" s="33"/>
      <c r="K233" s="34"/>
    </row>
    <row r="234" spans="1:11" x14ac:dyDescent="0.3">
      <c r="A234" s="48" t="s">
        <v>253</v>
      </c>
      <c r="B234" s="33"/>
      <c r="C234" s="33"/>
      <c r="D234" s="33"/>
      <c r="E234" s="33"/>
      <c r="F234" s="33"/>
      <c r="G234" s="33"/>
      <c r="H234" s="9">
        <v>225</v>
      </c>
      <c r="I234" s="33" t="s">
        <v>37</v>
      </c>
      <c r="J234" s="33"/>
      <c r="K234" s="34"/>
    </row>
    <row r="235" spans="1:11" x14ac:dyDescent="0.3">
      <c r="A235" s="48" t="s">
        <v>254</v>
      </c>
      <c r="B235" s="33"/>
      <c r="C235" s="33"/>
      <c r="D235" s="33"/>
      <c r="E235" s="33"/>
      <c r="F235" s="33"/>
      <c r="G235" s="33"/>
      <c r="H235" s="9">
        <v>55</v>
      </c>
      <c r="I235" s="33" t="s">
        <v>37</v>
      </c>
      <c r="J235" s="33"/>
      <c r="K235" s="34"/>
    </row>
    <row r="236" spans="1:11" ht="15" thickBot="1" x14ac:dyDescent="0.35">
      <c r="A236" s="84" t="s">
        <v>255</v>
      </c>
      <c r="B236" s="85"/>
      <c r="C236" s="85"/>
      <c r="D236" s="85"/>
      <c r="E236" s="85"/>
      <c r="F236" s="85"/>
      <c r="G236" s="85"/>
      <c r="H236" s="85"/>
      <c r="I236" s="85"/>
      <c r="J236" s="85"/>
      <c r="K236" s="87"/>
    </row>
    <row r="237" spans="1:11" x14ac:dyDescent="0.3">
      <c r="A237" s="52" t="s">
        <v>256</v>
      </c>
      <c r="B237" s="53"/>
      <c r="C237" s="53"/>
      <c r="D237" s="53"/>
      <c r="E237" s="53"/>
      <c r="F237" s="53"/>
      <c r="G237" s="53"/>
      <c r="H237" s="8">
        <v>150</v>
      </c>
      <c r="I237" s="53" t="s">
        <v>37</v>
      </c>
      <c r="J237" s="53"/>
      <c r="K237" s="54"/>
    </row>
    <row r="238" spans="1:11" x14ac:dyDescent="0.3">
      <c r="A238" s="48" t="s">
        <v>257</v>
      </c>
      <c r="B238" s="33"/>
      <c r="C238" s="33"/>
      <c r="D238" s="33"/>
      <c r="E238" s="33"/>
      <c r="F238" s="33"/>
      <c r="G238" s="33"/>
      <c r="H238" s="11" t="s">
        <v>353</v>
      </c>
      <c r="I238" s="33" t="s">
        <v>107</v>
      </c>
      <c r="J238" s="33"/>
      <c r="K238" s="34"/>
    </row>
    <row r="239" spans="1:11" x14ac:dyDescent="0.3">
      <c r="A239" s="48" t="s">
        <v>258</v>
      </c>
      <c r="B239" s="33"/>
      <c r="C239" s="33"/>
      <c r="D239" s="33"/>
      <c r="E239" s="33"/>
      <c r="F239" s="33"/>
      <c r="G239" s="33"/>
      <c r="H239" s="9">
        <v>190</v>
      </c>
      <c r="I239" s="33" t="s">
        <v>45</v>
      </c>
      <c r="J239" s="33"/>
      <c r="K239" s="34"/>
    </row>
    <row r="240" spans="1:11" x14ac:dyDescent="0.3">
      <c r="A240" s="48" t="s">
        <v>259</v>
      </c>
      <c r="B240" s="33"/>
      <c r="C240" s="33"/>
      <c r="D240" s="33"/>
      <c r="E240" s="33"/>
      <c r="F240" s="33"/>
      <c r="G240" s="33"/>
      <c r="H240" s="9">
        <v>1350</v>
      </c>
      <c r="I240" s="33" t="s">
        <v>45</v>
      </c>
      <c r="J240" s="33"/>
      <c r="K240" s="34"/>
    </row>
    <row r="241" spans="1:11" x14ac:dyDescent="0.3">
      <c r="A241" s="48" t="s">
        <v>260</v>
      </c>
      <c r="B241" s="33"/>
      <c r="C241" s="33"/>
      <c r="D241" s="33"/>
      <c r="E241" s="33"/>
      <c r="F241" s="33"/>
      <c r="G241" s="33"/>
      <c r="H241" s="9">
        <v>350</v>
      </c>
      <c r="I241" s="33" t="s">
        <v>45</v>
      </c>
      <c r="J241" s="33"/>
      <c r="K241" s="34"/>
    </row>
    <row r="242" spans="1:11" x14ac:dyDescent="0.3">
      <c r="A242" s="48" t="s">
        <v>261</v>
      </c>
      <c r="B242" s="33"/>
      <c r="C242" s="33"/>
      <c r="D242" s="33"/>
      <c r="E242" s="33"/>
      <c r="F242" s="33"/>
      <c r="G242" s="33"/>
      <c r="H242" s="9">
        <v>30</v>
      </c>
      <c r="I242" s="33" t="s">
        <v>45</v>
      </c>
      <c r="J242" s="33"/>
      <c r="K242" s="34"/>
    </row>
    <row r="243" spans="1:11" x14ac:dyDescent="0.3">
      <c r="A243" s="48" t="s">
        <v>262</v>
      </c>
      <c r="B243" s="33"/>
      <c r="C243" s="33"/>
      <c r="D243" s="33"/>
      <c r="E243" s="33"/>
      <c r="F243" s="33"/>
      <c r="G243" s="33"/>
      <c r="H243" s="11" t="s">
        <v>353</v>
      </c>
      <c r="I243" s="33" t="s">
        <v>107</v>
      </c>
      <c r="J243" s="33"/>
      <c r="K243" s="34"/>
    </row>
    <row r="244" spans="1:11" x14ac:dyDescent="0.3">
      <c r="A244" s="48" t="s">
        <v>263</v>
      </c>
      <c r="B244" s="33"/>
      <c r="C244" s="33"/>
      <c r="D244" s="33"/>
      <c r="E244" s="33"/>
      <c r="F244" s="33"/>
      <c r="G244" s="33"/>
      <c r="H244" s="9">
        <v>350</v>
      </c>
      <c r="I244" s="33" t="s">
        <v>45</v>
      </c>
      <c r="J244" s="33"/>
      <c r="K244" s="34"/>
    </row>
    <row r="245" spans="1:11" x14ac:dyDescent="0.3">
      <c r="A245" s="48" t="s">
        <v>264</v>
      </c>
      <c r="B245" s="33"/>
      <c r="C245" s="33"/>
      <c r="D245" s="33"/>
      <c r="E245" s="33"/>
      <c r="F245" s="33"/>
      <c r="G245" s="33"/>
      <c r="H245" s="9">
        <v>1.75</v>
      </c>
      <c r="I245" s="33" t="s">
        <v>265</v>
      </c>
      <c r="J245" s="33"/>
      <c r="K245" s="34"/>
    </row>
    <row r="246" spans="1:11" x14ac:dyDescent="0.3">
      <c r="A246" s="48" t="s">
        <v>266</v>
      </c>
      <c r="B246" s="33"/>
      <c r="C246" s="33"/>
      <c r="D246" s="33"/>
      <c r="E246" s="33"/>
      <c r="F246" s="33"/>
      <c r="G246" s="33"/>
      <c r="H246" s="11" t="s">
        <v>353</v>
      </c>
      <c r="I246" s="33" t="s">
        <v>107</v>
      </c>
      <c r="J246" s="33"/>
      <c r="K246" s="34"/>
    </row>
    <row r="247" spans="1:11" x14ac:dyDescent="0.3">
      <c r="A247" s="48" t="s">
        <v>267</v>
      </c>
      <c r="B247" s="33"/>
      <c r="C247" s="33"/>
      <c r="D247" s="33"/>
      <c r="E247" s="33"/>
      <c r="F247" s="33"/>
      <c r="G247" s="33"/>
      <c r="H247" s="9">
        <v>175</v>
      </c>
      <c r="I247" s="33" t="s">
        <v>45</v>
      </c>
      <c r="J247" s="33"/>
      <c r="K247" s="34"/>
    </row>
    <row r="248" spans="1:11" x14ac:dyDescent="0.3">
      <c r="A248" s="48" t="s">
        <v>268</v>
      </c>
      <c r="B248" s="33"/>
      <c r="C248" s="33"/>
      <c r="D248" s="33"/>
      <c r="E248" s="33"/>
      <c r="F248" s="33"/>
      <c r="G248" s="33"/>
      <c r="H248" s="9">
        <v>200</v>
      </c>
      <c r="I248" s="33" t="s">
        <v>269</v>
      </c>
      <c r="J248" s="33"/>
      <c r="K248" s="34"/>
    </row>
    <row r="249" spans="1:11" x14ac:dyDescent="0.3">
      <c r="A249" s="48" t="s">
        <v>270</v>
      </c>
      <c r="B249" s="33"/>
      <c r="C249" s="33"/>
      <c r="D249" s="33"/>
      <c r="E249" s="33"/>
      <c r="F249" s="33"/>
      <c r="G249" s="33"/>
      <c r="H249" s="9">
        <v>400</v>
      </c>
      <c r="I249" s="33" t="s">
        <v>45</v>
      </c>
      <c r="J249" s="33"/>
      <c r="K249" s="34"/>
    </row>
    <row r="250" spans="1:11" x14ac:dyDescent="0.3">
      <c r="A250" s="48" t="s">
        <v>271</v>
      </c>
      <c r="B250" s="33"/>
      <c r="C250" s="33"/>
      <c r="D250" s="33"/>
      <c r="E250" s="33"/>
      <c r="F250" s="33"/>
      <c r="G250" s="33"/>
      <c r="H250" s="9">
        <v>12</v>
      </c>
      <c r="I250" s="33" t="s">
        <v>272</v>
      </c>
      <c r="J250" s="33"/>
      <c r="K250" s="34"/>
    </row>
    <row r="251" spans="1:11" ht="15" thickBot="1" x14ac:dyDescent="0.35">
      <c r="A251" s="27" t="s">
        <v>273</v>
      </c>
      <c r="B251" s="28"/>
      <c r="C251" s="28"/>
      <c r="D251" s="28"/>
      <c r="E251" s="28"/>
      <c r="F251" s="28"/>
      <c r="G251" s="28"/>
      <c r="H251" s="10">
        <v>650</v>
      </c>
      <c r="I251" s="28" t="s">
        <v>45</v>
      </c>
      <c r="J251" s="28"/>
      <c r="K251" s="29"/>
    </row>
    <row r="252" spans="1:11" ht="15" thickBot="1" x14ac:dyDescent="0.35">
      <c r="A252" s="120" t="s">
        <v>274</v>
      </c>
      <c r="B252" s="86"/>
      <c r="C252" s="86"/>
      <c r="D252" s="86"/>
      <c r="E252" s="86"/>
      <c r="F252" s="86"/>
      <c r="G252" s="86"/>
      <c r="H252" s="86"/>
      <c r="I252" s="86"/>
      <c r="J252" s="86"/>
      <c r="K252" s="121"/>
    </row>
    <row r="253" spans="1:11" x14ac:dyDescent="0.3">
      <c r="A253" s="52" t="s">
        <v>275</v>
      </c>
      <c r="B253" s="53"/>
      <c r="C253" s="53"/>
      <c r="D253" s="53"/>
      <c r="E253" s="53"/>
      <c r="F253" s="53"/>
      <c r="G253" s="53"/>
      <c r="H253" s="8">
        <v>79.5</v>
      </c>
      <c r="I253" s="53" t="s">
        <v>276</v>
      </c>
      <c r="J253" s="53"/>
      <c r="K253" s="54"/>
    </row>
    <row r="254" spans="1:11" x14ac:dyDescent="0.3">
      <c r="A254" s="48" t="s">
        <v>277</v>
      </c>
      <c r="B254" s="33"/>
      <c r="C254" s="33"/>
      <c r="D254" s="33"/>
      <c r="E254" s="33"/>
      <c r="F254" s="33"/>
      <c r="G254" s="33"/>
      <c r="H254" s="9">
        <v>84.8</v>
      </c>
      <c r="I254" s="33" t="s">
        <v>276</v>
      </c>
      <c r="J254" s="33"/>
      <c r="K254" s="34"/>
    </row>
    <row r="255" spans="1:11" x14ac:dyDescent="0.3">
      <c r="A255" s="48" t="s">
        <v>278</v>
      </c>
      <c r="B255" s="33"/>
      <c r="C255" s="33"/>
      <c r="D255" s="33"/>
      <c r="E255" s="33"/>
      <c r="F255" s="33"/>
      <c r="G255" s="33"/>
      <c r="H255" s="9">
        <v>84.8</v>
      </c>
      <c r="I255" s="33" t="s">
        <v>276</v>
      </c>
      <c r="J255" s="33"/>
      <c r="K255" s="34"/>
    </row>
    <row r="256" spans="1:11" x14ac:dyDescent="0.3">
      <c r="A256" s="48" t="s">
        <v>279</v>
      </c>
      <c r="B256" s="33"/>
      <c r="C256" s="33"/>
      <c r="D256" s="33"/>
      <c r="E256" s="33"/>
      <c r="F256" s="33"/>
      <c r="G256" s="33"/>
      <c r="H256" s="9">
        <v>22</v>
      </c>
      <c r="I256" s="33" t="s">
        <v>280</v>
      </c>
      <c r="J256" s="33"/>
      <c r="K256" s="34"/>
    </row>
    <row r="257" spans="1:11" x14ac:dyDescent="0.3">
      <c r="A257" s="48" t="s">
        <v>281</v>
      </c>
      <c r="B257" s="33"/>
      <c r="C257" s="33"/>
      <c r="D257" s="33"/>
      <c r="E257" s="33"/>
      <c r="F257" s="33"/>
      <c r="G257" s="33"/>
      <c r="H257" s="9">
        <v>95.4</v>
      </c>
      <c r="I257" s="33" t="s">
        <v>280</v>
      </c>
      <c r="J257" s="33"/>
      <c r="K257" s="34"/>
    </row>
    <row r="258" spans="1:11" x14ac:dyDescent="0.3">
      <c r="A258" s="48" t="s">
        <v>282</v>
      </c>
      <c r="B258" s="33"/>
      <c r="C258" s="33"/>
      <c r="D258" s="33"/>
      <c r="E258" s="33"/>
      <c r="F258" s="33"/>
      <c r="G258" s="33"/>
      <c r="H258" s="9">
        <v>41.8</v>
      </c>
      <c r="I258" s="33" t="s">
        <v>283</v>
      </c>
      <c r="J258" s="33"/>
      <c r="K258" s="34"/>
    </row>
    <row r="259" spans="1:11" x14ac:dyDescent="0.3">
      <c r="A259" s="48" t="s">
        <v>284</v>
      </c>
      <c r="B259" s="33"/>
      <c r="C259" s="33"/>
      <c r="D259" s="33"/>
      <c r="E259" s="33"/>
      <c r="F259" s="33"/>
      <c r="G259" s="33"/>
      <c r="H259" s="9">
        <v>73.599999999999994</v>
      </c>
      <c r="I259" s="33" t="s">
        <v>283</v>
      </c>
      <c r="J259" s="33"/>
      <c r="K259" s="34"/>
    </row>
    <row r="260" spans="1:11" x14ac:dyDescent="0.3">
      <c r="A260" s="48" t="s">
        <v>285</v>
      </c>
      <c r="B260" s="33"/>
      <c r="C260" s="33"/>
      <c r="D260" s="33"/>
      <c r="E260" s="33"/>
      <c r="F260" s="33"/>
      <c r="G260" s="33"/>
      <c r="H260" s="9">
        <v>105.4</v>
      </c>
      <c r="I260" s="33" t="s">
        <v>283</v>
      </c>
      <c r="J260" s="33"/>
      <c r="K260" s="34"/>
    </row>
    <row r="261" spans="1:11" x14ac:dyDescent="0.3">
      <c r="A261" s="48" t="s">
        <v>286</v>
      </c>
      <c r="B261" s="33"/>
      <c r="C261" s="33"/>
      <c r="D261" s="33"/>
      <c r="E261" s="33"/>
      <c r="F261" s="33"/>
      <c r="G261" s="33"/>
      <c r="H261" s="9">
        <v>120</v>
      </c>
      <c r="I261" s="33" t="s">
        <v>283</v>
      </c>
      <c r="J261" s="33"/>
      <c r="K261" s="34"/>
    </row>
    <row r="262" spans="1:11" x14ac:dyDescent="0.3">
      <c r="A262" s="48" t="s">
        <v>287</v>
      </c>
      <c r="B262" s="33"/>
      <c r="C262" s="33"/>
      <c r="D262" s="33"/>
      <c r="E262" s="33"/>
      <c r="F262" s="33"/>
      <c r="G262" s="33"/>
      <c r="H262" s="9">
        <v>121.9</v>
      </c>
      <c r="I262" s="33" t="s">
        <v>276</v>
      </c>
      <c r="J262" s="33"/>
      <c r="K262" s="34"/>
    </row>
    <row r="263" spans="1:11" ht="15" thickBot="1" x14ac:dyDescent="0.35">
      <c r="A263" s="27" t="s">
        <v>288</v>
      </c>
      <c r="B263" s="28"/>
      <c r="C263" s="28"/>
      <c r="D263" s="28"/>
      <c r="E263" s="28"/>
      <c r="F263" s="28"/>
      <c r="G263" s="28"/>
      <c r="H263" s="10">
        <v>125</v>
      </c>
      <c r="I263" s="28" t="s">
        <v>276</v>
      </c>
      <c r="J263" s="28"/>
      <c r="K263" s="29"/>
    </row>
    <row r="264" spans="1:11" ht="15" thickBot="1" x14ac:dyDescent="0.35">
      <c r="A264" s="120" t="s">
        <v>289</v>
      </c>
      <c r="B264" s="86"/>
      <c r="C264" s="86"/>
      <c r="D264" s="86"/>
      <c r="E264" s="86"/>
      <c r="F264" s="86"/>
      <c r="G264" s="86"/>
      <c r="H264" s="86"/>
      <c r="I264" s="86"/>
      <c r="J264" s="86"/>
      <c r="K264" s="121"/>
    </row>
    <row r="265" spans="1:11" x14ac:dyDescent="0.3">
      <c r="A265" s="52" t="s">
        <v>290</v>
      </c>
      <c r="B265" s="53"/>
      <c r="C265" s="53"/>
      <c r="D265" s="53"/>
      <c r="E265" s="53"/>
      <c r="F265" s="53"/>
      <c r="G265" s="53"/>
      <c r="H265" s="8">
        <v>240</v>
      </c>
      <c r="I265" s="53" t="s">
        <v>265</v>
      </c>
      <c r="J265" s="53"/>
      <c r="K265" s="54"/>
    </row>
    <row r="266" spans="1:11" x14ac:dyDescent="0.3">
      <c r="A266" s="48" t="s">
        <v>291</v>
      </c>
      <c r="B266" s="33"/>
      <c r="C266" s="33"/>
      <c r="D266" s="33"/>
      <c r="E266" s="33"/>
      <c r="F266" s="33"/>
      <c r="G266" s="33"/>
      <c r="H266" s="9">
        <v>25</v>
      </c>
      <c r="I266" s="33" t="s">
        <v>292</v>
      </c>
      <c r="J266" s="33"/>
      <c r="K266" s="34"/>
    </row>
    <row r="267" spans="1:11" x14ac:dyDescent="0.3">
      <c r="A267" s="48" t="s">
        <v>293</v>
      </c>
      <c r="B267" s="33"/>
      <c r="C267" s="33"/>
      <c r="D267" s="33"/>
      <c r="E267" s="33"/>
      <c r="F267" s="33"/>
      <c r="G267" s="33"/>
      <c r="H267" s="9">
        <v>9.5</v>
      </c>
      <c r="I267" s="33" t="s">
        <v>265</v>
      </c>
      <c r="J267" s="33"/>
      <c r="K267" s="34"/>
    </row>
    <row r="268" spans="1:11" x14ac:dyDescent="0.3">
      <c r="A268" s="48" t="s">
        <v>294</v>
      </c>
      <c r="B268" s="33"/>
      <c r="C268" s="33"/>
      <c r="D268" s="33"/>
      <c r="E268" s="33"/>
      <c r="F268" s="33"/>
      <c r="G268" s="33"/>
      <c r="H268" s="11" t="s">
        <v>353</v>
      </c>
      <c r="I268" s="33" t="s">
        <v>107</v>
      </c>
      <c r="J268" s="33"/>
      <c r="K268" s="34"/>
    </row>
    <row r="269" spans="1:11" x14ac:dyDescent="0.3">
      <c r="A269" s="48" t="s">
        <v>295</v>
      </c>
      <c r="B269" s="33"/>
      <c r="C269" s="33"/>
      <c r="D269" s="33"/>
      <c r="E269" s="33"/>
      <c r="F269" s="33"/>
      <c r="G269" s="33"/>
      <c r="H269" s="9">
        <v>85</v>
      </c>
      <c r="I269" s="33" t="s">
        <v>292</v>
      </c>
      <c r="J269" s="33"/>
      <c r="K269" s="34"/>
    </row>
    <row r="270" spans="1:11" x14ac:dyDescent="0.3">
      <c r="A270" s="48" t="s">
        <v>296</v>
      </c>
      <c r="B270" s="33"/>
      <c r="C270" s="33"/>
      <c r="D270" s="33"/>
      <c r="E270" s="33"/>
      <c r="F270" s="33"/>
      <c r="G270" s="33"/>
      <c r="H270" s="9">
        <v>30</v>
      </c>
      <c r="I270" s="33" t="s">
        <v>265</v>
      </c>
      <c r="J270" s="33"/>
      <c r="K270" s="34"/>
    </row>
    <row r="271" spans="1:11" x14ac:dyDescent="0.3">
      <c r="A271" s="48" t="s">
        <v>297</v>
      </c>
      <c r="B271" s="33"/>
      <c r="C271" s="33"/>
      <c r="D271" s="33"/>
      <c r="E271" s="33"/>
      <c r="F271" s="33"/>
      <c r="G271" s="33"/>
      <c r="H271" s="9">
        <v>92.5</v>
      </c>
      <c r="I271" s="33" t="s">
        <v>265</v>
      </c>
      <c r="J271" s="33"/>
      <c r="K271" s="34"/>
    </row>
    <row r="272" spans="1:11" x14ac:dyDescent="0.3">
      <c r="A272" s="48" t="s">
        <v>298</v>
      </c>
      <c r="B272" s="33"/>
      <c r="C272" s="33"/>
      <c r="D272" s="33"/>
      <c r="E272" s="33"/>
      <c r="F272" s="33"/>
      <c r="G272" s="33"/>
      <c r="H272" s="9">
        <v>92.5</v>
      </c>
      <c r="I272" s="33" t="s">
        <v>265</v>
      </c>
      <c r="J272" s="33"/>
      <c r="K272" s="34"/>
    </row>
    <row r="273" spans="1:11" x14ac:dyDescent="0.3">
      <c r="A273" s="48" t="s">
        <v>299</v>
      </c>
      <c r="B273" s="33"/>
      <c r="C273" s="33"/>
      <c r="D273" s="33"/>
      <c r="E273" s="33"/>
      <c r="F273" s="33"/>
      <c r="G273" s="33"/>
      <c r="H273" s="9">
        <v>3</v>
      </c>
      <c r="I273" s="33" t="s">
        <v>265</v>
      </c>
      <c r="J273" s="33"/>
      <c r="K273" s="34"/>
    </row>
    <row r="274" spans="1:11" x14ac:dyDescent="0.3">
      <c r="A274" s="48" t="s">
        <v>300</v>
      </c>
      <c r="B274" s="33"/>
      <c r="C274" s="33"/>
      <c r="D274" s="33"/>
      <c r="E274" s="33"/>
      <c r="F274" s="33"/>
      <c r="G274" s="33"/>
      <c r="H274" s="9">
        <v>12.5</v>
      </c>
      <c r="I274" s="33" t="s">
        <v>292</v>
      </c>
      <c r="J274" s="33"/>
      <c r="K274" s="34"/>
    </row>
    <row r="275" spans="1:11" x14ac:dyDescent="0.3">
      <c r="A275" s="48" t="s">
        <v>301</v>
      </c>
      <c r="B275" s="33"/>
      <c r="C275" s="33"/>
      <c r="D275" s="33"/>
      <c r="E275" s="33"/>
      <c r="F275" s="33"/>
      <c r="G275" s="33"/>
      <c r="H275" s="9">
        <v>420.69</v>
      </c>
      <c r="I275" s="33" t="s">
        <v>265</v>
      </c>
      <c r="J275" s="33"/>
      <c r="K275" s="34"/>
    </row>
    <row r="276" spans="1:11" x14ac:dyDescent="0.3">
      <c r="A276" s="48" t="s">
        <v>302</v>
      </c>
      <c r="B276" s="33"/>
      <c r="C276" s="33"/>
      <c r="D276" s="33"/>
      <c r="E276" s="33"/>
      <c r="F276" s="33"/>
      <c r="G276" s="33"/>
      <c r="H276" s="9">
        <v>50</v>
      </c>
      <c r="I276" s="33" t="s">
        <v>265</v>
      </c>
      <c r="J276" s="33"/>
      <c r="K276" s="34"/>
    </row>
    <row r="277" spans="1:11" x14ac:dyDescent="0.3">
      <c r="A277" s="48" t="s">
        <v>303</v>
      </c>
      <c r="B277" s="33"/>
      <c r="C277" s="33"/>
      <c r="D277" s="33"/>
      <c r="E277" s="33"/>
      <c r="F277" s="33"/>
      <c r="G277" s="33"/>
      <c r="H277" s="9">
        <v>56</v>
      </c>
      <c r="I277" s="33" t="s">
        <v>265</v>
      </c>
      <c r="J277" s="33"/>
      <c r="K277" s="34"/>
    </row>
    <row r="278" spans="1:11" x14ac:dyDescent="0.3">
      <c r="A278" s="48" t="s">
        <v>304</v>
      </c>
      <c r="B278" s="33"/>
      <c r="C278" s="33"/>
      <c r="D278" s="33"/>
      <c r="E278" s="33"/>
      <c r="F278" s="33"/>
      <c r="G278" s="33"/>
      <c r="H278" s="9">
        <v>58</v>
      </c>
      <c r="I278" s="33" t="s">
        <v>265</v>
      </c>
      <c r="J278" s="33"/>
      <c r="K278" s="34"/>
    </row>
    <row r="279" spans="1:11" x14ac:dyDescent="0.3">
      <c r="A279" s="48" t="s">
        <v>305</v>
      </c>
      <c r="B279" s="33"/>
      <c r="C279" s="33"/>
      <c r="D279" s="33"/>
      <c r="E279" s="33"/>
      <c r="F279" s="33"/>
      <c r="G279" s="33"/>
      <c r="H279" s="9">
        <v>300</v>
      </c>
      <c r="I279" s="33" t="s">
        <v>306</v>
      </c>
      <c r="J279" s="33"/>
      <c r="K279" s="34"/>
    </row>
    <row r="280" spans="1:11" x14ac:dyDescent="0.3">
      <c r="A280" s="48" t="s">
        <v>307</v>
      </c>
      <c r="B280" s="33"/>
      <c r="C280" s="33"/>
      <c r="D280" s="33"/>
      <c r="E280" s="33"/>
      <c r="F280" s="33"/>
      <c r="G280" s="33"/>
      <c r="H280" s="9">
        <v>15</v>
      </c>
      <c r="I280" s="33" t="s">
        <v>45</v>
      </c>
      <c r="J280" s="33"/>
      <c r="K280" s="34"/>
    </row>
    <row r="281" spans="1:11" x14ac:dyDescent="0.3">
      <c r="A281" s="48" t="s">
        <v>308</v>
      </c>
      <c r="B281" s="33"/>
      <c r="C281" s="33"/>
      <c r="D281" s="33"/>
      <c r="E281" s="33"/>
      <c r="F281" s="33"/>
      <c r="G281" s="33"/>
      <c r="H281" s="9">
        <v>50</v>
      </c>
      <c r="I281" s="33" t="s">
        <v>265</v>
      </c>
      <c r="J281" s="33"/>
      <c r="K281" s="34"/>
    </row>
    <row r="282" spans="1:11" x14ac:dyDescent="0.3">
      <c r="A282" s="48" t="s">
        <v>309</v>
      </c>
      <c r="B282" s="33"/>
      <c r="C282" s="33"/>
      <c r="D282" s="33"/>
      <c r="E282" s="33"/>
      <c r="F282" s="33"/>
      <c r="G282" s="33"/>
      <c r="H282" s="9">
        <v>22.5</v>
      </c>
      <c r="I282" s="33" t="s">
        <v>265</v>
      </c>
      <c r="J282" s="33"/>
      <c r="K282" s="34"/>
    </row>
    <row r="283" spans="1:11" x14ac:dyDescent="0.3">
      <c r="A283" s="48" t="s">
        <v>310</v>
      </c>
      <c r="B283" s="33"/>
      <c r="C283" s="33"/>
      <c r="D283" s="33"/>
      <c r="E283" s="33"/>
      <c r="F283" s="33"/>
      <c r="G283" s="33"/>
      <c r="H283" s="9">
        <v>2</v>
      </c>
      <c r="I283" s="33" t="s">
        <v>45</v>
      </c>
      <c r="J283" s="33"/>
      <c r="K283" s="34"/>
    </row>
    <row r="284" spans="1:11" x14ac:dyDescent="0.3">
      <c r="A284" s="48" t="s">
        <v>311</v>
      </c>
      <c r="B284" s="33"/>
      <c r="C284" s="33"/>
      <c r="D284" s="33"/>
      <c r="E284" s="33"/>
      <c r="F284" s="33"/>
      <c r="G284" s="33"/>
      <c r="H284" s="11" t="s">
        <v>353</v>
      </c>
      <c r="I284" s="33" t="s">
        <v>107</v>
      </c>
      <c r="J284" s="33"/>
      <c r="K284" s="34"/>
    </row>
    <row r="285" spans="1:11" x14ac:dyDescent="0.3">
      <c r="A285" s="48" t="s">
        <v>312</v>
      </c>
      <c r="B285" s="33"/>
      <c r="C285" s="33"/>
      <c r="D285" s="33"/>
      <c r="E285" s="33"/>
      <c r="F285" s="33"/>
      <c r="G285" s="33"/>
      <c r="H285" s="9">
        <v>266.2</v>
      </c>
      <c r="I285" s="33" t="s">
        <v>265</v>
      </c>
      <c r="J285" s="33"/>
      <c r="K285" s="34"/>
    </row>
    <row r="286" spans="1:11" ht="15" thickBot="1" x14ac:dyDescent="0.35">
      <c r="A286" s="27" t="s">
        <v>313</v>
      </c>
      <c r="B286" s="28"/>
      <c r="C286" s="28"/>
      <c r="D286" s="28"/>
      <c r="E286" s="28"/>
      <c r="F286" s="28"/>
      <c r="G286" s="28"/>
      <c r="H286" s="10">
        <v>2.5</v>
      </c>
      <c r="I286" s="28" t="s">
        <v>45</v>
      </c>
      <c r="J286" s="28"/>
      <c r="K286" s="29"/>
    </row>
    <row r="287" spans="1:11" ht="15" thickBot="1" x14ac:dyDescent="0.35">
      <c r="A287" s="120" t="s">
        <v>314</v>
      </c>
      <c r="B287" s="86"/>
      <c r="C287" s="86"/>
      <c r="D287" s="86"/>
      <c r="E287" s="86"/>
      <c r="F287" s="86"/>
      <c r="G287" s="86"/>
      <c r="H287" s="86"/>
      <c r="I287" s="86"/>
      <c r="J287" s="86"/>
      <c r="K287" s="121"/>
    </row>
    <row r="288" spans="1:11" x14ac:dyDescent="0.3">
      <c r="A288" s="52" t="s">
        <v>315</v>
      </c>
      <c r="B288" s="53"/>
      <c r="C288" s="53"/>
      <c r="D288" s="53"/>
      <c r="E288" s="53"/>
      <c r="F288" s="53"/>
      <c r="G288" s="53"/>
      <c r="H288" s="8">
        <v>42.5</v>
      </c>
      <c r="I288" s="53" t="s">
        <v>272</v>
      </c>
      <c r="J288" s="53"/>
      <c r="K288" s="54"/>
    </row>
    <row r="289" spans="1:11" x14ac:dyDescent="0.3">
      <c r="A289" s="48" t="s">
        <v>316</v>
      </c>
      <c r="B289" s="33"/>
      <c r="C289" s="33"/>
      <c r="D289" s="33"/>
      <c r="E289" s="33"/>
      <c r="F289" s="33"/>
      <c r="G289" s="33"/>
      <c r="H289" s="9">
        <v>2500</v>
      </c>
      <c r="I289" s="33" t="s">
        <v>137</v>
      </c>
      <c r="J289" s="33"/>
      <c r="K289" s="34"/>
    </row>
    <row r="290" spans="1:11" x14ac:dyDescent="0.3">
      <c r="A290" s="48" t="s">
        <v>317</v>
      </c>
      <c r="B290" s="33"/>
      <c r="C290" s="33"/>
      <c r="D290" s="33"/>
      <c r="E290" s="33"/>
      <c r="F290" s="33"/>
      <c r="G290" s="33"/>
      <c r="H290" s="9">
        <v>55</v>
      </c>
      <c r="I290" s="33" t="s">
        <v>272</v>
      </c>
      <c r="J290" s="33"/>
      <c r="K290" s="34"/>
    </row>
    <row r="291" spans="1:11" x14ac:dyDescent="0.3">
      <c r="A291" s="48" t="s">
        <v>318</v>
      </c>
      <c r="B291" s="33"/>
      <c r="C291" s="33"/>
      <c r="D291" s="33"/>
      <c r="E291" s="33"/>
      <c r="F291" s="33"/>
      <c r="G291" s="33"/>
      <c r="H291" s="9">
        <v>180</v>
      </c>
      <c r="I291" s="33" t="s">
        <v>272</v>
      </c>
      <c r="J291" s="33"/>
      <c r="K291" s="34"/>
    </row>
    <row r="292" spans="1:11" x14ac:dyDescent="0.3">
      <c r="A292" s="48" t="s">
        <v>319</v>
      </c>
      <c r="B292" s="33"/>
      <c r="C292" s="33"/>
      <c r="D292" s="33"/>
      <c r="E292" s="33"/>
      <c r="F292" s="33"/>
      <c r="G292" s="33"/>
      <c r="H292" s="9">
        <v>30</v>
      </c>
      <c r="I292" s="33" t="s">
        <v>272</v>
      </c>
      <c r="J292" s="33"/>
      <c r="K292" s="34"/>
    </row>
    <row r="293" spans="1:11" x14ac:dyDescent="0.3">
      <c r="A293" s="48" t="s">
        <v>320</v>
      </c>
      <c r="B293" s="33"/>
      <c r="C293" s="33"/>
      <c r="D293" s="33"/>
      <c r="E293" s="33"/>
      <c r="F293" s="33"/>
      <c r="G293" s="33"/>
      <c r="H293" s="9">
        <v>52.5</v>
      </c>
      <c r="I293" s="33" t="s">
        <v>272</v>
      </c>
      <c r="J293" s="33"/>
      <c r="K293" s="34"/>
    </row>
    <row r="294" spans="1:11" x14ac:dyDescent="0.3">
      <c r="A294" s="48" t="s">
        <v>321</v>
      </c>
      <c r="B294" s="33"/>
      <c r="C294" s="33"/>
      <c r="D294" s="33"/>
      <c r="E294" s="33"/>
      <c r="F294" s="33"/>
      <c r="G294" s="33"/>
      <c r="H294" s="9">
        <v>155</v>
      </c>
      <c r="I294" s="33" t="s">
        <v>272</v>
      </c>
      <c r="J294" s="33"/>
      <c r="K294" s="34"/>
    </row>
    <row r="295" spans="1:11" x14ac:dyDescent="0.3">
      <c r="A295" s="48" t="s">
        <v>322</v>
      </c>
      <c r="B295" s="33"/>
      <c r="C295" s="33"/>
      <c r="D295" s="33"/>
      <c r="E295" s="33"/>
      <c r="F295" s="33"/>
      <c r="G295" s="33"/>
      <c r="H295" s="9">
        <v>250</v>
      </c>
      <c r="I295" s="33" t="s">
        <v>272</v>
      </c>
      <c r="J295" s="33"/>
      <c r="K295" s="34"/>
    </row>
    <row r="296" spans="1:11" x14ac:dyDescent="0.3">
      <c r="A296" s="48" t="s">
        <v>323</v>
      </c>
      <c r="B296" s="33"/>
      <c r="C296" s="33"/>
      <c r="D296" s="33"/>
      <c r="E296" s="33"/>
      <c r="F296" s="33"/>
      <c r="G296" s="33"/>
      <c r="H296" s="9">
        <v>50</v>
      </c>
      <c r="I296" s="33" t="s">
        <v>272</v>
      </c>
      <c r="J296" s="33"/>
      <c r="K296" s="34"/>
    </row>
    <row r="297" spans="1:11" ht="15" thickBot="1" x14ac:dyDescent="0.35">
      <c r="A297" s="117" t="s">
        <v>324</v>
      </c>
      <c r="B297" s="118"/>
      <c r="C297" s="118"/>
      <c r="D297" s="118"/>
      <c r="E297" s="118"/>
      <c r="F297" s="118"/>
      <c r="G297" s="118"/>
      <c r="H297" s="15">
        <v>275</v>
      </c>
      <c r="I297" s="118" t="s">
        <v>272</v>
      </c>
      <c r="J297" s="118"/>
      <c r="K297" s="119"/>
    </row>
    <row r="298" spans="1:11" ht="97.5" customHeight="1" thickBot="1" x14ac:dyDescent="0.35"/>
    <row r="299" spans="1:11" ht="15" thickBot="1" x14ac:dyDescent="0.35">
      <c r="A299" s="114" t="s">
        <v>325</v>
      </c>
      <c r="B299" s="115"/>
      <c r="C299" s="115"/>
      <c r="D299" s="115"/>
      <c r="E299" s="115"/>
      <c r="F299" s="115"/>
      <c r="G299" s="115"/>
      <c r="H299" s="115"/>
      <c r="I299" s="115"/>
      <c r="J299" s="115"/>
      <c r="K299" s="116"/>
    </row>
    <row r="300" spans="1:11" s="1" customFormat="1" ht="22.35" customHeight="1" x14ac:dyDescent="0.3">
      <c r="A300" s="52" t="s">
        <v>326</v>
      </c>
      <c r="B300" s="53"/>
      <c r="C300" s="53"/>
      <c r="D300" s="53"/>
      <c r="E300" s="53"/>
      <c r="F300" s="53"/>
      <c r="G300" s="53"/>
      <c r="H300" s="53"/>
      <c r="I300" s="53"/>
      <c r="J300" s="53"/>
      <c r="K300" s="54"/>
    </row>
    <row r="301" spans="1:11" s="1" customFormat="1" ht="22.35" customHeight="1" x14ac:dyDescent="0.3">
      <c r="A301" s="48" t="s">
        <v>327</v>
      </c>
      <c r="B301" s="33"/>
      <c r="C301" s="33"/>
      <c r="D301" s="33"/>
      <c r="E301" s="33"/>
      <c r="F301" s="33"/>
      <c r="G301" s="33"/>
      <c r="H301" s="33"/>
      <c r="I301" s="33"/>
      <c r="J301" s="33"/>
      <c r="K301" s="34"/>
    </row>
    <row r="302" spans="1:11" s="1" customFormat="1" x14ac:dyDescent="0.3">
      <c r="A302" s="48" t="s">
        <v>328</v>
      </c>
      <c r="B302" s="33"/>
      <c r="C302" s="33"/>
      <c r="D302" s="33"/>
      <c r="E302" s="33"/>
      <c r="F302" s="33"/>
      <c r="G302" s="33"/>
      <c r="H302" s="33"/>
      <c r="I302" s="33"/>
      <c r="J302" s="33"/>
      <c r="K302" s="34"/>
    </row>
    <row r="303" spans="1:11" s="1" customFormat="1" x14ac:dyDescent="0.3">
      <c r="A303" s="48" t="s">
        <v>329</v>
      </c>
      <c r="B303" s="33"/>
      <c r="C303" s="33"/>
      <c r="D303" s="33"/>
      <c r="E303" s="33"/>
      <c r="F303" s="33"/>
      <c r="G303" s="33"/>
      <c r="H303" s="33"/>
      <c r="I303" s="33"/>
      <c r="J303" s="33"/>
      <c r="K303" s="34"/>
    </row>
    <row r="304" spans="1:11" s="1" customFormat="1" ht="22.35" customHeight="1" x14ac:dyDescent="0.3">
      <c r="A304" s="48" t="s">
        <v>330</v>
      </c>
      <c r="B304" s="33"/>
      <c r="C304" s="33"/>
      <c r="D304" s="33"/>
      <c r="E304" s="33"/>
      <c r="F304" s="33"/>
      <c r="G304" s="33"/>
      <c r="H304" s="33"/>
      <c r="I304" s="33"/>
      <c r="J304" s="33"/>
      <c r="K304" s="34"/>
    </row>
    <row r="305" spans="1:11" s="1" customFormat="1" x14ac:dyDescent="0.3">
      <c r="A305" s="48" t="s">
        <v>331</v>
      </c>
      <c r="B305" s="33"/>
      <c r="C305" s="33"/>
      <c r="D305" s="33"/>
      <c r="E305" s="33"/>
      <c r="F305" s="33"/>
      <c r="G305" s="33"/>
      <c r="H305" s="33"/>
      <c r="I305" s="33"/>
      <c r="J305" s="33"/>
      <c r="K305" s="34"/>
    </row>
    <row r="306" spans="1:11" s="1" customFormat="1" x14ac:dyDescent="0.3">
      <c r="A306" s="48" t="s">
        <v>332</v>
      </c>
      <c r="B306" s="33"/>
      <c r="C306" s="33"/>
      <c r="D306" s="33"/>
      <c r="E306" s="33"/>
      <c r="F306" s="33"/>
      <c r="G306" s="33"/>
      <c r="H306" s="33"/>
      <c r="I306" s="33"/>
      <c r="J306" s="33"/>
      <c r="K306" s="34"/>
    </row>
    <row r="307" spans="1:11" s="1" customFormat="1" x14ac:dyDescent="0.3">
      <c r="A307" s="27" t="s">
        <v>333</v>
      </c>
      <c r="B307" s="28"/>
      <c r="C307" s="28"/>
      <c r="D307" s="28"/>
      <c r="E307" s="28"/>
      <c r="F307" s="28"/>
      <c r="G307" s="28"/>
      <c r="H307" s="28"/>
      <c r="I307" s="28"/>
      <c r="J307" s="28"/>
      <c r="K307" s="29"/>
    </row>
    <row r="308" spans="1:11" s="1" customFormat="1" ht="15" thickBot="1" x14ac:dyDescent="0.35">
      <c r="A308" s="27" t="s">
        <v>334</v>
      </c>
      <c r="B308" s="28"/>
      <c r="C308" s="28"/>
      <c r="D308" s="28"/>
      <c r="E308" s="28"/>
      <c r="F308" s="28"/>
      <c r="G308" s="28"/>
      <c r="H308" s="28"/>
      <c r="I308" s="28"/>
      <c r="J308" s="28"/>
      <c r="K308" s="29"/>
    </row>
    <row r="309" spans="1:11" s="1" customFormat="1" ht="15" thickBot="1" x14ac:dyDescent="0.35">
      <c r="A309" s="108" t="s">
        <v>335</v>
      </c>
      <c r="B309" s="109"/>
      <c r="C309" s="109"/>
      <c r="D309" s="109"/>
      <c r="E309" s="109"/>
      <c r="F309" s="109"/>
      <c r="G309" s="109"/>
      <c r="H309" s="109"/>
      <c r="I309" s="109"/>
      <c r="J309" s="109"/>
      <c r="K309" s="110"/>
    </row>
    <row r="310" spans="1:11" s="1" customFormat="1" ht="15" thickBot="1" x14ac:dyDescent="0.35">
      <c r="A310" s="39" t="s">
        <v>336</v>
      </c>
      <c r="B310" s="40"/>
      <c r="C310" s="40"/>
      <c r="D310" s="40"/>
      <c r="E310" s="40"/>
      <c r="F310" s="40"/>
      <c r="G310" s="40"/>
      <c r="H310" s="40"/>
      <c r="I310" s="40"/>
      <c r="J310" s="40"/>
      <c r="K310" s="41"/>
    </row>
    <row r="311" spans="1:11" s="1" customFormat="1" ht="15" thickBot="1" x14ac:dyDescent="0.35">
      <c r="A311" s="108" t="s">
        <v>337</v>
      </c>
      <c r="B311" s="109"/>
      <c r="C311" s="109"/>
      <c r="D311" s="109"/>
      <c r="E311" s="109"/>
      <c r="F311" s="109"/>
      <c r="G311" s="109"/>
      <c r="H311" s="109"/>
      <c r="I311" s="109"/>
      <c r="J311" s="109"/>
      <c r="K311" s="110"/>
    </row>
    <row r="312" spans="1:11" s="1" customFormat="1" x14ac:dyDescent="0.3">
      <c r="A312" s="52" t="s">
        <v>338</v>
      </c>
      <c r="B312" s="53"/>
      <c r="C312" s="53"/>
      <c r="D312" s="53"/>
      <c r="E312" s="53"/>
      <c r="F312" s="53"/>
      <c r="G312" s="53"/>
      <c r="H312" s="53"/>
      <c r="I312" s="53"/>
      <c r="J312" s="53"/>
      <c r="K312" s="54"/>
    </row>
    <row r="313" spans="1:11" s="1" customFormat="1" x14ac:dyDescent="0.3">
      <c r="A313" s="48" t="s">
        <v>339</v>
      </c>
      <c r="B313" s="33"/>
      <c r="C313" s="33"/>
      <c r="D313" s="33"/>
      <c r="E313" s="33"/>
      <c r="F313" s="33"/>
      <c r="G313" s="33"/>
      <c r="H313" s="33"/>
      <c r="I313" s="33"/>
      <c r="J313" s="33"/>
      <c r="K313" s="34"/>
    </row>
    <row r="314" spans="1:11" s="1" customFormat="1" ht="15" thickBot="1" x14ac:dyDescent="0.35">
      <c r="A314" s="27" t="s">
        <v>340</v>
      </c>
      <c r="B314" s="28"/>
      <c r="C314" s="28"/>
      <c r="D314" s="28"/>
      <c r="E314" s="28"/>
      <c r="F314" s="28"/>
      <c r="G314" s="28"/>
      <c r="H314" s="28"/>
      <c r="I314" s="28"/>
      <c r="J314" s="28"/>
      <c r="K314" s="29"/>
    </row>
    <row r="315" spans="1:11" s="1" customFormat="1" ht="15" thickBot="1" x14ac:dyDescent="0.35">
      <c r="A315" s="108" t="s">
        <v>341</v>
      </c>
      <c r="B315" s="109"/>
      <c r="C315" s="109"/>
      <c r="D315" s="109"/>
      <c r="E315" s="109"/>
      <c r="F315" s="109"/>
      <c r="G315" s="109"/>
      <c r="H315" s="109"/>
      <c r="I315" s="109"/>
      <c r="J315" s="109"/>
      <c r="K315" s="110"/>
    </row>
    <row r="316" spans="1:11" s="1" customFormat="1" ht="30.75" customHeight="1" thickBot="1" x14ac:dyDescent="0.35">
      <c r="A316" s="39" t="s">
        <v>342</v>
      </c>
      <c r="B316" s="40"/>
      <c r="C316" s="40"/>
      <c r="D316" s="40"/>
      <c r="E316" s="40"/>
      <c r="F316" s="40"/>
      <c r="G316" s="40"/>
      <c r="H316" s="40"/>
      <c r="I316" s="40"/>
      <c r="J316" s="40"/>
      <c r="K316" s="41"/>
    </row>
    <row r="317" spans="1:11" s="1" customFormat="1" ht="15" thickBot="1" x14ac:dyDescent="0.35">
      <c r="A317" s="108" t="s">
        <v>343</v>
      </c>
      <c r="B317" s="109"/>
      <c r="C317" s="109"/>
      <c r="D317" s="109"/>
      <c r="E317" s="109"/>
      <c r="F317" s="109"/>
      <c r="G317" s="109"/>
      <c r="H317" s="109"/>
      <c r="I317" s="109"/>
      <c r="J317" s="109"/>
      <c r="K317" s="110"/>
    </row>
    <row r="318" spans="1:11" s="1" customFormat="1" x14ac:dyDescent="0.3">
      <c r="A318" s="45" t="s">
        <v>344</v>
      </c>
      <c r="B318" s="46"/>
      <c r="C318" s="46"/>
      <c r="D318" s="46"/>
      <c r="E318" s="46"/>
      <c r="F318" s="46"/>
      <c r="G318" s="46"/>
      <c r="H318" s="46"/>
      <c r="I318" s="46"/>
      <c r="J318" s="46"/>
      <c r="K318" s="47"/>
    </row>
    <row r="319" spans="1:11" s="1" customFormat="1" x14ac:dyDescent="0.3">
      <c r="A319" s="48" t="s">
        <v>345</v>
      </c>
      <c r="B319" s="33"/>
      <c r="C319" s="33"/>
      <c r="D319" s="33"/>
      <c r="E319" s="33"/>
      <c r="F319" s="33"/>
      <c r="G319" s="33"/>
      <c r="H319" s="33"/>
      <c r="I319" s="33"/>
      <c r="J319" s="33"/>
      <c r="K319" s="34"/>
    </row>
    <row r="320" spans="1:11" s="1" customFormat="1" ht="33.75" customHeight="1" x14ac:dyDescent="0.3">
      <c r="A320" s="48" t="s">
        <v>346</v>
      </c>
      <c r="B320" s="33"/>
      <c r="C320" s="33"/>
      <c r="D320" s="33"/>
      <c r="E320" s="33"/>
      <c r="F320" s="33"/>
      <c r="G320" s="33"/>
      <c r="H320" s="33"/>
      <c r="I320" s="33"/>
      <c r="J320" s="33"/>
      <c r="K320" s="34"/>
    </row>
    <row r="321" spans="1:11" s="1" customFormat="1" ht="15" thickBot="1" x14ac:dyDescent="0.35">
      <c r="A321" s="111" t="s">
        <v>347</v>
      </c>
      <c r="B321" s="112"/>
      <c r="C321" s="112"/>
      <c r="D321" s="112"/>
      <c r="E321" s="112"/>
      <c r="F321" s="112"/>
      <c r="G321" s="112"/>
      <c r="H321" s="112"/>
      <c r="I321" s="112"/>
      <c r="J321" s="112"/>
      <c r="K321" s="113"/>
    </row>
    <row r="322" spans="1:11" s="1" customFormat="1" ht="44.25" customHeight="1" thickBot="1" x14ac:dyDescent="0.35">
      <c r="A322" s="39" t="s">
        <v>348</v>
      </c>
      <c r="B322" s="40"/>
      <c r="C322" s="40"/>
      <c r="D322" s="40"/>
      <c r="E322" s="40"/>
      <c r="F322" s="40"/>
      <c r="G322" s="40"/>
      <c r="H322" s="40"/>
      <c r="I322" s="40"/>
      <c r="J322" s="40"/>
      <c r="K322" s="41"/>
    </row>
    <row r="323" spans="1:11" s="1" customFormat="1" ht="15" thickBot="1" x14ac:dyDescent="0.35">
      <c r="A323" s="108" t="s">
        <v>349</v>
      </c>
      <c r="B323" s="109"/>
      <c r="C323" s="109"/>
      <c r="D323" s="109"/>
      <c r="E323" s="109"/>
      <c r="F323" s="109"/>
      <c r="G323" s="109"/>
      <c r="H323" s="109"/>
      <c r="I323" s="109"/>
      <c r="J323" s="109"/>
      <c r="K323" s="110"/>
    </row>
    <row r="324" spans="1:11" s="1" customFormat="1" ht="15" thickBot="1" x14ac:dyDescent="0.35">
      <c r="A324" s="39" t="s">
        <v>350</v>
      </c>
      <c r="B324" s="40"/>
      <c r="C324" s="40"/>
      <c r="D324" s="40"/>
      <c r="E324" s="40"/>
      <c r="F324" s="40"/>
      <c r="G324" s="40"/>
      <c r="H324" s="40"/>
      <c r="I324" s="40"/>
      <c r="J324" s="40"/>
      <c r="K324" s="41"/>
    </row>
    <row r="325" spans="1:11" s="1" customFormat="1" ht="15" thickBot="1" x14ac:dyDescent="0.35">
      <c r="A325" s="108" t="s">
        <v>351</v>
      </c>
      <c r="B325" s="109"/>
      <c r="C325" s="109"/>
      <c r="D325" s="109"/>
      <c r="E325" s="109"/>
      <c r="F325" s="109"/>
      <c r="G325" s="109"/>
      <c r="H325" s="109"/>
      <c r="I325" s="109"/>
      <c r="J325" s="109"/>
      <c r="K325" s="110"/>
    </row>
    <row r="326" spans="1:11" s="1" customFormat="1" ht="42" customHeight="1" thickBot="1" x14ac:dyDescent="0.35">
      <c r="A326" s="42" t="s">
        <v>352</v>
      </c>
      <c r="B326" s="43"/>
      <c r="C326" s="43"/>
      <c r="D326" s="43"/>
      <c r="E326" s="43"/>
      <c r="F326" s="43"/>
      <c r="G326" s="43"/>
      <c r="H326" s="43"/>
      <c r="I326" s="43"/>
      <c r="J326" s="43"/>
      <c r="K326" s="44"/>
    </row>
  </sheetData>
  <mergeCells count="536">
    <mergeCell ref="A1:C1"/>
    <mergeCell ref="D1:H1"/>
    <mergeCell ref="I1:K1"/>
    <mergeCell ref="A3:K3"/>
    <mergeCell ref="A4:B4"/>
    <mergeCell ref="C4:K4"/>
    <mergeCell ref="A8:K8"/>
    <mergeCell ref="A10:K10"/>
    <mergeCell ref="A11:G11"/>
    <mergeCell ref="A12:G12"/>
    <mergeCell ref="A13:G13"/>
    <mergeCell ref="A14:G14"/>
    <mergeCell ref="A5:B5"/>
    <mergeCell ref="C5:K5"/>
    <mergeCell ref="A6:B6"/>
    <mergeCell ref="C6:K6"/>
    <mergeCell ref="A7:B7"/>
    <mergeCell ref="C7:K7"/>
    <mergeCell ref="A21:G21"/>
    <mergeCell ref="A22:G22"/>
    <mergeCell ref="A23:G23"/>
    <mergeCell ref="A24:G24"/>
    <mergeCell ref="A25:G25"/>
    <mergeCell ref="A26:G26"/>
    <mergeCell ref="A15:G15"/>
    <mergeCell ref="A16:G16"/>
    <mergeCell ref="A17:G17"/>
    <mergeCell ref="A18:G18"/>
    <mergeCell ref="A19:G19"/>
    <mergeCell ref="A20:G20"/>
    <mergeCell ref="A33:G33"/>
    <mergeCell ref="A34:G34"/>
    <mergeCell ref="A35:G35"/>
    <mergeCell ref="A36:G36"/>
    <mergeCell ref="A37:G37"/>
    <mergeCell ref="A38:G38"/>
    <mergeCell ref="A27:K27"/>
    <mergeCell ref="A28:G28"/>
    <mergeCell ref="A29:G29"/>
    <mergeCell ref="A30:G30"/>
    <mergeCell ref="A31:G31"/>
    <mergeCell ref="A32:G32"/>
    <mergeCell ref="A45:G45"/>
    <mergeCell ref="A46:G46"/>
    <mergeCell ref="A47:G47"/>
    <mergeCell ref="A48:G48"/>
    <mergeCell ref="A49:G49"/>
    <mergeCell ref="A50:K50"/>
    <mergeCell ref="A39:G39"/>
    <mergeCell ref="A40:G40"/>
    <mergeCell ref="A41:G41"/>
    <mergeCell ref="A42:G42"/>
    <mergeCell ref="A43:G43"/>
    <mergeCell ref="A44:G44"/>
    <mergeCell ref="A57:G57"/>
    <mergeCell ref="A58:G58"/>
    <mergeCell ref="A59:G59"/>
    <mergeCell ref="A60:G60"/>
    <mergeCell ref="A61:G61"/>
    <mergeCell ref="A62:G62"/>
    <mergeCell ref="A51:G51"/>
    <mergeCell ref="A52:G52"/>
    <mergeCell ref="A53:G53"/>
    <mergeCell ref="A54:G54"/>
    <mergeCell ref="A55:G55"/>
    <mergeCell ref="A56:K56"/>
    <mergeCell ref="A69:G69"/>
    <mergeCell ref="A70:G70"/>
    <mergeCell ref="A71:G71"/>
    <mergeCell ref="A72:G72"/>
    <mergeCell ref="A73:K73"/>
    <mergeCell ref="A74:G74"/>
    <mergeCell ref="I74:K74"/>
    <mergeCell ref="A63:G63"/>
    <mergeCell ref="A64:K64"/>
    <mergeCell ref="A65:G65"/>
    <mergeCell ref="A66:G66"/>
    <mergeCell ref="A67:K67"/>
    <mergeCell ref="A68:G68"/>
    <mergeCell ref="A78:G78"/>
    <mergeCell ref="I78:K78"/>
    <mergeCell ref="A79:G79"/>
    <mergeCell ref="I79:K79"/>
    <mergeCell ref="A80:G80"/>
    <mergeCell ref="I80:K80"/>
    <mergeCell ref="A75:G75"/>
    <mergeCell ref="I75:K75"/>
    <mergeCell ref="A76:G76"/>
    <mergeCell ref="I76:K76"/>
    <mergeCell ref="A77:G77"/>
    <mergeCell ref="I77:K77"/>
    <mergeCell ref="A84:K84"/>
    <mergeCell ref="A85:G85"/>
    <mergeCell ref="I85:K85"/>
    <mergeCell ref="A86:G86"/>
    <mergeCell ref="I86:K86"/>
    <mergeCell ref="A87:G87"/>
    <mergeCell ref="I87:K87"/>
    <mergeCell ref="A81:G81"/>
    <mergeCell ref="I81:K81"/>
    <mergeCell ref="A82:G82"/>
    <mergeCell ref="I82:K82"/>
    <mergeCell ref="A83:G83"/>
    <mergeCell ref="I83:K83"/>
    <mergeCell ref="A91:G91"/>
    <mergeCell ref="I91:K91"/>
    <mergeCell ref="A92:G92"/>
    <mergeCell ref="I92:K92"/>
    <mergeCell ref="A93:G93"/>
    <mergeCell ref="I93:K93"/>
    <mergeCell ref="A88:G88"/>
    <mergeCell ref="I88:K88"/>
    <mergeCell ref="A89:G89"/>
    <mergeCell ref="I89:K89"/>
    <mergeCell ref="A90:G90"/>
    <mergeCell ref="I90:K90"/>
    <mergeCell ref="A97:G97"/>
    <mergeCell ref="I97:K97"/>
    <mergeCell ref="A98:K98"/>
    <mergeCell ref="A99:G99"/>
    <mergeCell ref="I99:K99"/>
    <mergeCell ref="A100:G100"/>
    <mergeCell ref="I100:K100"/>
    <mergeCell ref="A94:G94"/>
    <mergeCell ref="I94:K94"/>
    <mergeCell ref="A95:G95"/>
    <mergeCell ref="I95:K95"/>
    <mergeCell ref="A96:G96"/>
    <mergeCell ref="I96:K96"/>
    <mergeCell ref="A104:G104"/>
    <mergeCell ref="I104:K104"/>
    <mergeCell ref="A105:G105"/>
    <mergeCell ref="I105:K105"/>
    <mergeCell ref="A106:G106"/>
    <mergeCell ref="I106:K106"/>
    <mergeCell ref="A101:G101"/>
    <mergeCell ref="I101:K101"/>
    <mergeCell ref="A102:G102"/>
    <mergeCell ref="I102:K102"/>
    <mergeCell ref="A103:G103"/>
    <mergeCell ref="I103:K103"/>
    <mergeCell ref="A111:G111"/>
    <mergeCell ref="I111:K111"/>
    <mergeCell ref="A112:G112"/>
    <mergeCell ref="I112:K112"/>
    <mergeCell ref="A113:G113"/>
    <mergeCell ref="I113:K113"/>
    <mergeCell ref="A107:K107"/>
    <mergeCell ref="A108:G108"/>
    <mergeCell ref="I108:K108"/>
    <mergeCell ref="A109:G109"/>
    <mergeCell ref="I109:K109"/>
    <mergeCell ref="A110:G110"/>
    <mergeCell ref="I110:K110"/>
    <mergeCell ref="A117:K117"/>
    <mergeCell ref="A118:G118"/>
    <mergeCell ref="I118:K118"/>
    <mergeCell ref="A119:G119"/>
    <mergeCell ref="I119:K119"/>
    <mergeCell ref="A120:G120"/>
    <mergeCell ref="I120:K120"/>
    <mergeCell ref="A114:G114"/>
    <mergeCell ref="I114:K114"/>
    <mergeCell ref="A115:G115"/>
    <mergeCell ref="I115:K115"/>
    <mergeCell ref="A116:G116"/>
    <mergeCell ref="I116:K116"/>
    <mergeCell ref="A124:G124"/>
    <mergeCell ref="I124:K124"/>
    <mergeCell ref="A125:G125"/>
    <mergeCell ref="I125:K125"/>
    <mergeCell ref="A126:G126"/>
    <mergeCell ref="I126:K126"/>
    <mergeCell ref="A121:G121"/>
    <mergeCell ref="I121:K121"/>
    <mergeCell ref="A122:G122"/>
    <mergeCell ref="I122:K122"/>
    <mergeCell ref="A123:G123"/>
    <mergeCell ref="I123:K123"/>
    <mergeCell ref="A130:G130"/>
    <mergeCell ref="I130:K130"/>
    <mergeCell ref="A131:G131"/>
    <mergeCell ref="I131:K131"/>
    <mergeCell ref="A132:G132"/>
    <mergeCell ref="I132:K132"/>
    <mergeCell ref="A127:G127"/>
    <mergeCell ref="I127:K127"/>
    <mergeCell ref="A128:G128"/>
    <mergeCell ref="I128:K128"/>
    <mergeCell ref="A129:G129"/>
    <mergeCell ref="I129:K129"/>
    <mergeCell ref="A136:G136"/>
    <mergeCell ref="I136:K136"/>
    <mergeCell ref="A137:K137"/>
    <mergeCell ref="A138:G138"/>
    <mergeCell ref="I138:K138"/>
    <mergeCell ref="A139:G139"/>
    <mergeCell ref="I139:K139"/>
    <mergeCell ref="A133:G133"/>
    <mergeCell ref="I133:K133"/>
    <mergeCell ref="A134:G134"/>
    <mergeCell ref="I134:K134"/>
    <mergeCell ref="A135:G135"/>
    <mergeCell ref="I135:K135"/>
    <mergeCell ref="A143:G143"/>
    <mergeCell ref="I143:K143"/>
    <mergeCell ref="A144:G144"/>
    <mergeCell ref="I144:K144"/>
    <mergeCell ref="A145:G145"/>
    <mergeCell ref="I145:K145"/>
    <mergeCell ref="A140:G140"/>
    <mergeCell ref="I140:K140"/>
    <mergeCell ref="A141:G141"/>
    <mergeCell ref="I141:K141"/>
    <mergeCell ref="A142:G142"/>
    <mergeCell ref="I142:K142"/>
    <mergeCell ref="A149:G149"/>
    <mergeCell ref="I149:K149"/>
    <mergeCell ref="A150:G150"/>
    <mergeCell ref="I150:K150"/>
    <mergeCell ref="A151:G151"/>
    <mergeCell ref="I151:K151"/>
    <mergeCell ref="A146:G146"/>
    <mergeCell ref="I146:K146"/>
    <mergeCell ref="A147:G147"/>
    <mergeCell ref="I147:K147"/>
    <mergeCell ref="A148:G148"/>
    <mergeCell ref="I148:K148"/>
    <mergeCell ref="A155:G155"/>
    <mergeCell ref="I155:K155"/>
    <mergeCell ref="A156:G156"/>
    <mergeCell ref="I156:K156"/>
    <mergeCell ref="A157:G157"/>
    <mergeCell ref="I157:K157"/>
    <mergeCell ref="A152:G152"/>
    <mergeCell ref="I152:K152"/>
    <mergeCell ref="A153:G153"/>
    <mergeCell ref="I153:K153"/>
    <mergeCell ref="A154:G154"/>
    <mergeCell ref="I154:K154"/>
    <mergeCell ref="A161:K161"/>
    <mergeCell ref="A162:G162"/>
    <mergeCell ref="I162:K162"/>
    <mergeCell ref="A163:G163"/>
    <mergeCell ref="I163:K163"/>
    <mergeCell ref="A164:G164"/>
    <mergeCell ref="I164:K164"/>
    <mergeCell ref="A158:G158"/>
    <mergeCell ref="I158:K158"/>
    <mergeCell ref="A159:G159"/>
    <mergeCell ref="I159:K159"/>
    <mergeCell ref="A160:G160"/>
    <mergeCell ref="I160:K160"/>
    <mergeCell ref="A168:K168"/>
    <mergeCell ref="A169:K169"/>
    <mergeCell ref="A170:G170"/>
    <mergeCell ref="I170:K170"/>
    <mergeCell ref="A171:G171"/>
    <mergeCell ref="I171:K171"/>
    <mergeCell ref="A165:G165"/>
    <mergeCell ref="I165:K165"/>
    <mergeCell ref="A166:G166"/>
    <mergeCell ref="I166:K166"/>
    <mergeCell ref="A167:G167"/>
    <mergeCell ref="I167:K167"/>
    <mergeCell ref="A175:G175"/>
    <mergeCell ref="I175:K175"/>
    <mergeCell ref="A176:G176"/>
    <mergeCell ref="I176:K176"/>
    <mergeCell ref="A177:G177"/>
    <mergeCell ref="I177:K177"/>
    <mergeCell ref="A172:G172"/>
    <mergeCell ref="I172:K172"/>
    <mergeCell ref="A173:G173"/>
    <mergeCell ref="I173:K173"/>
    <mergeCell ref="A174:G174"/>
    <mergeCell ref="I174:K174"/>
    <mergeCell ref="A181:G181"/>
    <mergeCell ref="I181:K181"/>
    <mergeCell ref="A182:G182"/>
    <mergeCell ref="I182:K182"/>
    <mergeCell ref="A183:K183"/>
    <mergeCell ref="A184:G184"/>
    <mergeCell ref="I184:K184"/>
    <mergeCell ref="A178:G178"/>
    <mergeCell ref="I178:K178"/>
    <mergeCell ref="A179:G179"/>
    <mergeCell ref="I179:K179"/>
    <mergeCell ref="A180:G180"/>
    <mergeCell ref="I180:K180"/>
    <mergeCell ref="A188:G188"/>
    <mergeCell ref="I188:K188"/>
    <mergeCell ref="A189:G189"/>
    <mergeCell ref="I189:K189"/>
    <mergeCell ref="A190:G190"/>
    <mergeCell ref="I190:K190"/>
    <mergeCell ref="A185:G185"/>
    <mergeCell ref="I185:K185"/>
    <mergeCell ref="A186:G186"/>
    <mergeCell ref="I186:K186"/>
    <mergeCell ref="A187:G187"/>
    <mergeCell ref="I187:K187"/>
    <mergeCell ref="A195:G195"/>
    <mergeCell ref="I195:K195"/>
    <mergeCell ref="A196:G196"/>
    <mergeCell ref="I196:K196"/>
    <mergeCell ref="A197:G197"/>
    <mergeCell ref="I197:K197"/>
    <mergeCell ref="A191:G191"/>
    <mergeCell ref="I191:K191"/>
    <mergeCell ref="A192:G192"/>
    <mergeCell ref="I192:K192"/>
    <mergeCell ref="A193:K193"/>
    <mergeCell ref="A194:G194"/>
    <mergeCell ref="I194:K194"/>
    <mergeCell ref="A202:G202"/>
    <mergeCell ref="I202:K202"/>
    <mergeCell ref="A203:G203"/>
    <mergeCell ref="I203:K203"/>
    <mergeCell ref="A204:G204"/>
    <mergeCell ref="I204:K204"/>
    <mergeCell ref="A198:G198"/>
    <mergeCell ref="I198:K198"/>
    <mergeCell ref="A199:G199"/>
    <mergeCell ref="I199:K199"/>
    <mergeCell ref="A200:K200"/>
    <mergeCell ref="A201:G201"/>
    <mergeCell ref="I201:K201"/>
    <mergeCell ref="A208:G208"/>
    <mergeCell ref="I208:K208"/>
    <mergeCell ref="A209:G209"/>
    <mergeCell ref="I209:K209"/>
    <mergeCell ref="A210:G210"/>
    <mergeCell ref="I210:K210"/>
    <mergeCell ref="A205:G205"/>
    <mergeCell ref="I205:K205"/>
    <mergeCell ref="A206:G206"/>
    <mergeCell ref="I206:K206"/>
    <mergeCell ref="A207:G207"/>
    <mergeCell ref="I207:K207"/>
    <mergeCell ref="A215:G215"/>
    <mergeCell ref="I215:K215"/>
    <mergeCell ref="A216:G216"/>
    <mergeCell ref="I216:K216"/>
    <mergeCell ref="A217:G217"/>
    <mergeCell ref="I217:K217"/>
    <mergeCell ref="A211:K211"/>
    <mergeCell ref="A212:G212"/>
    <mergeCell ref="I212:K212"/>
    <mergeCell ref="A213:G213"/>
    <mergeCell ref="I213:K213"/>
    <mergeCell ref="A214:G214"/>
    <mergeCell ref="I214:K214"/>
    <mergeCell ref="A221:G221"/>
    <mergeCell ref="I221:K221"/>
    <mergeCell ref="A222:G222"/>
    <mergeCell ref="I222:K222"/>
    <mergeCell ref="A223:G223"/>
    <mergeCell ref="I223:K223"/>
    <mergeCell ref="A218:G218"/>
    <mergeCell ref="I218:K218"/>
    <mergeCell ref="A219:G219"/>
    <mergeCell ref="I219:K219"/>
    <mergeCell ref="A220:G220"/>
    <mergeCell ref="I220:K220"/>
    <mergeCell ref="A227:G227"/>
    <mergeCell ref="I227:K227"/>
    <mergeCell ref="A228:G228"/>
    <mergeCell ref="I228:K228"/>
    <mergeCell ref="A229:G229"/>
    <mergeCell ref="I229:K229"/>
    <mergeCell ref="A224:G224"/>
    <mergeCell ref="I224:K224"/>
    <mergeCell ref="A225:G225"/>
    <mergeCell ref="I225:K225"/>
    <mergeCell ref="A226:G226"/>
    <mergeCell ref="I226:K226"/>
    <mergeCell ref="A234:G234"/>
    <mergeCell ref="I234:K234"/>
    <mergeCell ref="A235:G235"/>
    <mergeCell ref="I235:K235"/>
    <mergeCell ref="A236:K236"/>
    <mergeCell ref="A237:G237"/>
    <mergeCell ref="I237:K237"/>
    <mergeCell ref="A230:K230"/>
    <mergeCell ref="A231:G231"/>
    <mergeCell ref="I231:K231"/>
    <mergeCell ref="A232:G232"/>
    <mergeCell ref="I232:K232"/>
    <mergeCell ref="A233:G233"/>
    <mergeCell ref="I233:K233"/>
    <mergeCell ref="A241:G241"/>
    <mergeCell ref="I241:K241"/>
    <mergeCell ref="A242:G242"/>
    <mergeCell ref="I242:K242"/>
    <mergeCell ref="A243:G243"/>
    <mergeCell ref="I243:K243"/>
    <mergeCell ref="A238:G238"/>
    <mergeCell ref="I238:K238"/>
    <mergeCell ref="A239:G239"/>
    <mergeCell ref="I239:K239"/>
    <mergeCell ref="A240:G240"/>
    <mergeCell ref="I240:K240"/>
    <mergeCell ref="A247:G247"/>
    <mergeCell ref="I247:K247"/>
    <mergeCell ref="A248:G248"/>
    <mergeCell ref="I248:K248"/>
    <mergeCell ref="A249:G249"/>
    <mergeCell ref="I249:K249"/>
    <mergeCell ref="A244:G244"/>
    <mergeCell ref="I244:K244"/>
    <mergeCell ref="A245:G245"/>
    <mergeCell ref="I245:K245"/>
    <mergeCell ref="A246:G246"/>
    <mergeCell ref="I246:K246"/>
    <mergeCell ref="A254:G254"/>
    <mergeCell ref="I254:K254"/>
    <mergeCell ref="A255:G255"/>
    <mergeCell ref="I255:K255"/>
    <mergeCell ref="A256:G256"/>
    <mergeCell ref="I256:K256"/>
    <mergeCell ref="A250:G250"/>
    <mergeCell ref="I250:K250"/>
    <mergeCell ref="A251:G251"/>
    <mergeCell ref="I251:K251"/>
    <mergeCell ref="A252:K252"/>
    <mergeCell ref="A253:G253"/>
    <mergeCell ref="I253:K253"/>
    <mergeCell ref="A260:G260"/>
    <mergeCell ref="I260:K260"/>
    <mergeCell ref="A261:G261"/>
    <mergeCell ref="I261:K261"/>
    <mergeCell ref="A262:G262"/>
    <mergeCell ref="I262:K262"/>
    <mergeCell ref="A257:G257"/>
    <mergeCell ref="I257:K257"/>
    <mergeCell ref="A258:G258"/>
    <mergeCell ref="I258:K258"/>
    <mergeCell ref="A259:G259"/>
    <mergeCell ref="I259:K259"/>
    <mergeCell ref="A267:G267"/>
    <mergeCell ref="I267:K267"/>
    <mergeCell ref="A268:G268"/>
    <mergeCell ref="I268:K268"/>
    <mergeCell ref="A269:G269"/>
    <mergeCell ref="I269:K269"/>
    <mergeCell ref="A263:G263"/>
    <mergeCell ref="I263:K263"/>
    <mergeCell ref="A264:K264"/>
    <mergeCell ref="A265:G265"/>
    <mergeCell ref="I265:K265"/>
    <mergeCell ref="A266:G266"/>
    <mergeCell ref="I266:K266"/>
    <mergeCell ref="A273:G273"/>
    <mergeCell ref="I273:K273"/>
    <mergeCell ref="A274:G274"/>
    <mergeCell ref="I274:K274"/>
    <mergeCell ref="A275:G275"/>
    <mergeCell ref="I275:K275"/>
    <mergeCell ref="A270:G270"/>
    <mergeCell ref="I270:K270"/>
    <mergeCell ref="A271:G271"/>
    <mergeCell ref="I271:K271"/>
    <mergeCell ref="A272:G272"/>
    <mergeCell ref="I272:K272"/>
    <mergeCell ref="A279:G279"/>
    <mergeCell ref="I279:K279"/>
    <mergeCell ref="A280:G280"/>
    <mergeCell ref="I280:K280"/>
    <mergeCell ref="A281:G281"/>
    <mergeCell ref="I281:K281"/>
    <mergeCell ref="A276:G276"/>
    <mergeCell ref="I276:K276"/>
    <mergeCell ref="A277:G277"/>
    <mergeCell ref="I277:K277"/>
    <mergeCell ref="A278:G278"/>
    <mergeCell ref="I278:K278"/>
    <mergeCell ref="A285:G285"/>
    <mergeCell ref="I285:K285"/>
    <mergeCell ref="A286:G286"/>
    <mergeCell ref="I286:K286"/>
    <mergeCell ref="A287:K287"/>
    <mergeCell ref="A288:G288"/>
    <mergeCell ref="I288:K288"/>
    <mergeCell ref="A282:G282"/>
    <mergeCell ref="I282:K282"/>
    <mergeCell ref="A283:G283"/>
    <mergeCell ref="I283:K283"/>
    <mergeCell ref="A284:G284"/>
    <mergeCell ref="I284:K284"/>
    <mergeCell ref="A292:G292"/>
    <mergeCell ref="I292:K292"/>
    <mergeCell ref="A293:G293"/>
    <mergeCell ref="I293:K293"/>
    <mergeCell ref="A294:G294"/>
    <mergeCell ref="I294:K294"/>
    <mergeCell ref="A289:G289"/>
    <mergeCell ref="I289:K289"/>
    <mergeCell ref="A290:G290"/>
    <mergeCell ref="I290:K290"/>
    <mergeCell ref="A291:G291"/>
    <mergeCell ref="I291:K291"/>
    <mergeCell ref="A299:K299"/>
    <mergeCell ref="A300:K300"/>
    <mergeCell ref="A301:K301"/>
    <mergeCell ref="A302:K302"/>
    <mergeCell ref="A303:K303"/>
    <mergeCell ref="A304:K304"/>
    <mergeCell ref="A295:G295"/>
    <mergeCell ref="I295:K295"/>
    <mergeCell ref="A296:G296"/>
    <mergeCell ref="I296:K296"/>
    <mergeCell ref="A297:G297"/>
    <mergeCell ref="I297:K297"/>
    <mergeCell ref="A311:K311"/>
    <mergeCell ref="A312:K312"/>
    <mergeCell ref="A313:K313"/>
    <mergeCell ref="A314:K314"/>
    <mergeCell ref="A315:K315"/>
    <mergeCell ref="A316:K316"/>
    <mergeCell ref="A305:K305"/>
    <mergeCell ref="A306:K306"/>
    <mergeCell ref="A307:K307"/>
    <mergeCell ref="A308:K308"/>
    <mergeCell ref="A309:K309"/>
    <mergeCell ref="A310:K310"/>
    <mergeCell ref="A323:K323"/>
    <mergeCell ref="A324:K324"/>
    <mergeCell ref="A325:K325"/>
    <mergeCell ref="A326:K326"/>
    <mergeCell ref="A317:K317"/>
    <mergeCell ref="A318:K318"/>
    <mergeCell ref="A319:K319"/>
    <mergeCell ref="A320:K320"/>
    <mergeCell ref="A321:K321"/>
    <mergeCell ref="A322:K322"/>
  </mergeCells>
  <pageMargins left="0.15" right="0.15" top="0.25" bottom="0"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Rate Sheet</vt:lpstr>
      <vt:lpstr>Sheet5</vt:lpstr>
      <vt:lpstr>'Rate Sheet'!Print_Area</vt:lpstr>
    </vt:vector>
  </TitlesOfParts>
  <Manager/>
  <Company>Micro-Bac International,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Braden Gilbert</dc:creator>
  <cp:keywords/>
  <dc:description/>
  <cp:lastModifiedBy>Charlotte Stautzenberger</cp:lastModifiedBy>
  <cp:revision/>
  <cp:lastPrinted>2026-02-17T20:34:03Z</cp:lastPrinted>
  <dcterms:created xsi:type="dcterms:W3CDTF">2025-02-24T06:34:33Z</dcterms:created>
  <dcterms:modified xsi:type="dcterms:W3CDTF">2026-03-11T19:29:58Z</dcterms:modified>
  <cp:category/>
  <cp:contentStatus/>
</cp:coreProperties>
</file>